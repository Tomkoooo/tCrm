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/Downloads/"/>
    </mc:Choice>
  </mc:AlternateContent>
  <xr:revisionPtr revIDLastSave="0" documentId="13_ncr:1_{191CCD07-3649-474D-ABDB-0425B959BE77}" xr6:coauthVersionLast="47" xr6:coauthVersionMax="47" xr10:uidLastSave="{00000000-0000-0000-0000-000000000000}"/>
  <bookViews>
    <workbookView xWindow="0" yWindow="900" windowWidth="35960" windowHeight="21860" activeTab="1" xr2:uid="{61595AC2-55F8-F345-A69C-5E89FAC719C1}"/>
  </bookViews>
  <sheets>
    <sheet name="Munka1" sheetId="1" r:id="rId1"/>
    <sheet name="Munk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<sst xmlns="http://schemas.openxmlformats.org/spreadsheetml/2006/main" count="711" uniqueCount="198">
  <si>
    <t>product_id_SM</t>
  </si>
  <si>
    <t>product_id</t>
  </si>
  <si>
    <t>brand</t>
  </si>
  <si>
    <t>name_de</t>
  </si>
  <si>
    <t>name_en</t>
  </si>
  <si>
    <t>name_hu</t>
  </si>
  <si>
    <t>ean</t>
  </si>
  <si>
    <t>length</t>
  </si>
  <si>
    <t>width</t>
  </si>
  <si>
    <t>height</t>
  </si>
  <si>
    <t>weight</t>
  </si>
  <si>
    <t>Color</t>
  </si>
  <si>
    <t>packageweight</t>
  </si>
  <si>
    <t>packagevolume</t>
  </si>
  <si>
    <t>long_description_de</t>
  </si>
  <si>
    <t>long_description_en</t>
  </si>
  <si>
    <t>long_description_hu</t>
  </si>
  <si>
    <t>recommendet_retail_price_with_german_tax</t>
  </si>
  <si>
    <t>recommendet_retail_price_with_tax_HUF</t>
  </si>
  <si>
    <t>streetprice_with_german_tax</t>
  </si>
  <si>
    <t>streetprice_without_HUN_tax_HUF</t>
  </si>
  <si>
    <t>merchant_price</t>
  </si>
  <si>
    <t>merchant_price_HUF</t>
  </si>
  <si>
    <t>youtubevideo</t>
  </si>
  <si>
    <t>bild1</t>
  </si>
  <si>
    <t>bild2</t>
  </si>
  <si>
    <t>bild3</t>
  </si>
  <si>
    <t>bild4</t>
  </si>
  <si>
    <t>bild5</t>
  </si>
  <si>
    <t>freightlevel</t>
  </si>
  <si>
    <t>stocklevel</t>
  </si>
  <si>
    <t>availability_in_weeks</t>
  </si>
  <si>
    <t>youtubeid</t>
  </si>
  <si>
    <t>categoriy2_id</t>
  </si>
  <si>
    <t>cat1Name</t>
  </si>
  <si>
    <t>cat2Name</t>
  </si>
  <si>
    <t>Cat3Name</t>
  </si>
  <si>
    <t>inCategories</t>
  </si>
  <si>
    <t>discontinued</t>
  </si>
  <si>
    <t>cat1Name_en</t>
  </si>
  <si>
    <t>cat2Name_en</t>
  </si>
  <si>
    <t>cat3Name_en</t>
  </si>
  <si>
    <t>cat1Name_hu</t>
  </si>
  <si>
    <t>cat2Name_hu</t>
  </si>
  <si>
    <t>cat3Name_hu</t>
  </si>
  <si>
    <t>Relatedproduct_1</t>
  </si>
  <si>
    <t>Relatedproduct_pc_1</t>
  </si>
  <si>
    <t>Relatedproduct_2</t>
  </si>
  <si>
    <t>Relatedproduct_pc_2</t>
  </si>
  <si>
    <t>Relatedproduct_3</t>
  </si>
  <si>
    <t>Relatedproduct_pc_3</t>
  </si>
  <si>
    <t>Color_de</t>
  </si>
  <si>
    <t>Color_en</t>
  </si>
  <si>
    <t>Color_hu</t>
  </si>
  <si>
    <t>Owner</t>
  </si>
  <si>
    <t>warehouse 1.</t>
  </si>
  <si>
    <t>warehouse 2.</t>
  </si>
  <si>
    <t>-</t>
  </si>
  <si>
    <t>ALUTENT</t>
  </si>
  <si>
    <t>Alutent Faltzelt 3x3m weiß</t>
  </si>
  <si>
    <t>Alutent Faltzelt 3x3m schwarz</t>
  </si>
  <si>
    <t>weiß</t>
  </si>
  <si>
    <t>Alutent Faltzelt 6x3m weiß</t>
  </si>
  <si>
    <t>Alutent Faltzelt 6x3m schwarz</t>
  </si>
  <si>
    <t>Alutent folding tent 3x3m black</t>
  </si>
  <si>
    <t>Alutent folding tent 6x3m black</t>
  </si>
  <si>
    <t>Alutent folding tent 6x3m white</t>
  </si>
  <si>
    <t>Alutent folding tent 3x3m white</t>
  </si>
  <si>
    <t>Alutent összecsukható sátor 3x3m fekete</t>
  </si>
  <si>
    <t>Alutent összecsukható sátor 3x3m fehér</t>
  </si>
  <si>
    <t>Alutent összecsukható sátor 6x3m fehér</t>
  </si>
  <si>
    <t>Alutent összecsukható sátor 6x3m fekete</t>
  </si>
  <si>
    <t>schwarz</t>
  </si>
  <si>
    <t>white</t>
  </si>
  <si>
    <t>black</t>
  </si>
  <si>
    <t>fehér</t>
  </si>
  <si>
    <t>fekete</t>
  </si>
  <si>
    <t>warehouse 3.</t>
  </si>
  <si>
    <t>100003301.jpg</t>
  </si>
  <si>
    <t>100003302.jpg</t>
  </si>
  <si>
    <t>100006301.jpg</t>
  </si>
  <si>
    <t>100006302.jpg</t>
  </si>
  <si>
    <t>Faltzelt</t>
  </si>
  <si>
    <t>folding tent</t>
  </si>
  <si>
    <t>összecsukható sátor</t>
  </si>
  <si>
    <t>Zubehör</t>
  </si>
  <si>
    <t>Accessories</t>
  </si>
  <si>
    <t>Kiegészítők</t>
  </si>
  <si>
    <t>Zeltseitenwand</t>
  </si>
  <si>
    <t>tent side wall</t>
  </si>
  <si>
    <t>sátor oldalfal</t>
  </si>
  <si>
    <t>Alutent sátor oldalfal 3m fehér</t>
  </si>
  <si>
    <t>Alutent sátor oldalfal 3m fekete</t>
  </si>
  <si>
    <t>Relatedproduct_4</t>
  </si>
  <si>
    <t>Relatedproduct_pc_4</t>
  </si>
  <si>
    <t>Alutent tent side wall 3m white</t>
  </si>
  <si>
    <t>Alutent tent side wall 3m black</t>
  </si>
  <si>
    <t>Alutent Zeltseitenwand 3 m weiß</t>
  </si>
  <si>
    <t>Alutent Zeltseitenwand 3 m schwarz</t>
  </si>
  <si>
    <t>Alutent-Zeltseitenwandtasche für 4 Stück</t>
  </si>
  <si>
    <t>Alutent tent sidewall bag for 4 pieces</t>
  </si>
  <si>
    <t>Alutent sátor oldalfal táska 4 darab részére</t>
  </si>
  <si>
    <t>Alutent-Zeltseitenwandtasche für 6 Stück</t>
  </si>
  <si>
    <t>Alutent tent sidewall bag for 6 pieces</t>
  </si>
  <si>
    <t>Alutent sátor oldalfal táska 6 darab részére</t>
  </si>
  <si>
    <t>SAKKMED</t>
  </si>
  <si>
    <t>Alutent-Zeltrahmentasche für 3x3m-Zelt</t>
  </si>
  <si>
    <t>Alutent-Zeltrahmentasche für 6x3m-Zelt</t>
  </si>
  <si>
    <t>Szürke</t>
  </si>
  <si>
    <t>grau</t>
  </si>
  <si>
    <t>gray</t>
  </si>
  <si>
    <t>Alutent Zeltgewicht</t>
  </si>
  <si>
    <t>Alutent tent weight</t>
  </si>
  <si>
    <t>Alutent sátor súly</t>
  </si>
  <si>
    <t>tent weight</t>
  </si>
  <si>
    <t>Zeltgewicht</t>
  </si>
  <si>
    <t>sátorsúly</t>
  </si>
  <si>
    <t>carrying bag</t>
  </si>
  <si>
    <t>szállítótáska</t>
  </si>
  <si>
    <t>Tragetasche</t>
  </si>
  <si>
    <t>Alutent sátorváz táska 3x3m-es sátorhoz</t>
  </si>
  <si>
    <t>Alutent sátorváz táska 6x3m-es sátorhoz</t>
  </si>
  <si>
    <t>Alutent tent frame bag for 3x3m tent</t>
  </si>
  <si>
    <t>Alutent tent frame bag for 6x3m tent</t>
  </si>
  <si>
    <t>100010304.jpg</t>
  </si>
  <si>
    <t>100010306.jpg</t>
  </si>
  <si>
    <t>100023301.jpg</t>
  </si>
  <si>
    <t>100026301.jpg</t>
  </si>
  <si>
    <t>100030001.jpg</t>
  </si>
  <si>
    <t>supplierNo</t>
  </si>
  <si>
    <t>Sakkmed azonosító</t>
  </si>
  <si>
    <t>9 karakter</t>
  </si>
  <si>
    <t>beszállítói azonosító</t>
  </si>
  <si>
    <t>Beszállító száma</t>
  </si>
  <si>
    <t>márkanév</t>
  </si>
  <si>
    <t>német megnevezés</t>
  </si>
  <si>
    <t>angol megnevezés</t>
  </si>
  <si>
    <t>magyar megnevezés</t>
  </si>
  <si>
    <t>eladási vonalkód</t>
  </si>
  <si>
    <t>ez lesz a mi vonalkódunk</t>
  </si>
  <si>
    <t>hosszúság</t>
  </si>
  <si>
    <t>szélleség</t>
  </si>
  <si>
    <t>magasság</t>
  </si>
  <si>
    <t>Color en</t>
  </si>
  <si>
    <t>Color hu</t>
  </si>
  <si>
    <t>súly</t>
  </si>
  <si>
    <t>szín német</t>
  </si>
  <si>
    <t>szín angol</t>
  </si>
  <si>
    <t>szín magyar</t>
  </si>
  <si>
    <t>csomagsúlya</t>
  </si>
  <si>
    <t>csomag térfogata</t>
  </si>
  <si>
    <t>hosszú leírás német</t>
  </si>
  <si>
    <t>hosszú leírás angol</t>
  </si>
  <si>
    <t>hosszú leírás magyar</t>
  </si>
  <si>
    <t>ajánlott fogyasztói ár német áfával</t>
  </si>
  <si>
    <t>ajánlott fogyasztói ár magyar áfával</t>
  </si>
  <si>
    <t>fogyasztói ár áfa nélkül</t>
  </si>
  <si>
    <t>fogyasztói ár áfa forint</t>
  </si>
  <si>
    <t>bekerülési ár</t>
  </si>
  <si>
    <t>bekerülési ár forint</t>
  </si>
  <si>
    <t>videó</t>
  </si>
  <si>
    <t>kép 1</t>
  </si>
  <si>
    <t>kép 2</t>
  </si>
  <si>
    <t>kép 3</t>
  </si>
  <si>
    <t>kép 4</t>
  </si>
  <si>
    <t>kép 5</t>
  </si>
  <si>
    <t>fő kategória német</t>
  </si>
  <si>
    <t>kategória német</t>
  </si>
  <si>
    <t>kedvezmény</t>
  </si>
  <si>
    <t>alketegória német</t>
  </si>
  <si>
    <t>fő kategória angol</t>
  </si>
  <si>
    <t>kategória angol</t>
  </si>
  <si>
    <t>alketegória abgol</t>
  </si>
  <si>
    <t>fő kategória magyar</t>
  </si>
  <si>
    <t>kategória magyar</t>
  </si>
  <si>
    <t>alketegória magyar</t>
  </si>
  <si>
    <t>kapcsolodó termék 1.</t>
  </si>
  <si>
    <t>kapcs. Termék 1. darab</t>
  </si>
  <si>
    <t>kapcsolodó termék 2.</t>
  </si>
  <si>
    <t>kapcs. Termék 2. darab</t>
  </si>
  <si>
    <t>kapcsolodó termék 3.</t>
  </si>
  <si>
    <t>kapcs. Termék 3. darab</t>
  </si>
  <si>
    <t>tulajdonos</t>
  </si>
  <si>
    <t>Kispest raktár darab</t>
  </si>
  <si>
    <t>Erzsébet raktár</t>
  </si>
  <si>
    <t>Récsei Raktár</t>
  </si>
  <si>
    <t>RentFeeDay</t>
  </si>
  <si>
    <t>RentFeeWeekend</t>
  </si>
  <si>
    <t>RentFeeWeek</t>
  </si>
  <si>
    <t>Discont 1.</t>
  </si>
  <si>
    <t>Discont 2.</t>
  </si>
  <si>
    <t>Rent</t>
  </si>
  <si>
    <t>Napi bérleti díj</t>
  </si>
  <si>
    <t>Hétvégi bérleti díj (3 nap)</t>
  </si>
  <si>
    <t>Heti bérleti díj</t>
  </si>
  <si>
    <t>Kedvezmény max</t>
  </si>
  <si>
    <t>Tulajdonosi kedvezmény</t>
  </si>
  <si>
    <t>Bérlehető (1) Nem bérelehető önállóan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</si>
</sst>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0"/>
      <color theme="0"/>
      <name val="Arial Unicode MS"/>
      <family val="2"/>
    </font>
    <font>
      <sz val="10"/>
      <color rgb="FF000000"/>
      <name val="Arial Unicode MS"/>
      <family val="2"/>
    </font>
    <font>
      <sz val="12"/>
      <color rgb="FF0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0" fillId="0" borderId="0" xfId="0" quotePrefix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35D6-A3F2-CC47-B643-B26FD8592ECB}">
  <dimension ref="A1:BN12"/>
  <sheetViews>
    <sheetView topLeftCell="AZ1" zoomScale="120" zoomScaleNormal="120" workbookViewId="0">
      <selection activeCell="BI1" sqref="BI1:BN1"/>
    </sheetView>
  </sheetViews>
  <sheetFormatPr baseColWidth="10" defaultRowHeight="16" x14ac:dyDescent="0.2"/>
  <cols>
    <col min="1" max="1" width="39.33203125" bestFit="1" customWidth="1"/>
    <col min="60" max="60" width="12.1640625" bestFit="1" customWidth="1"/>
  </cols>
  <sheetData>
    <row r="1" spans="1:66" ht="17" x14ac:dyDescent="0.25">
      <c r="A1" s="1" t="s">
        <v>0</v>
      </c>
      <c r="B1" s="2" t="s">
        <v>1</v>
      </c>
      <c r="C1" s="3" t="s">
        <v>129</v>
      </c>
      <c r="D1" t="s">
        <v>2</v>
      </c>
      <c r="E1" t="s">
        <v>3</v>
      </c>
      <c r="F1" t="s">
        <v>4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3" t="s">
        <v>51</v>
      </c>
      <c r="N1" s="3" t="s">
        <v>52</v>
      </c>
      <c r="O1" s="3" t="s">
        <v>53</v>
      </c>
      <c r="P1" t="s">
        <v>12</v>
      </c>
      <c r="Q1" t="s">
        <v>13</v>
      </c>
      <c r="R1" t="s">
        <v>14</v>
      </c>
      <c r="S1" t="s">
        <v>15</v>
      </c>
      <c r="T1" s="3" t="s">
        <v>16</v>
      </c>
      <c r="U1" t="s">
        <v>17</v>
      </c>
      <c r="V1" s="3" t="s">
        <v>18</v>
      </c>
      <c r="W1" t="s">
        <v>19</v>
      </c>
      <c r="X1" s="3" t="s">
        <v>20</v>
      </c>
      <c r="Y1" t="s">
        <v>21</v>
      </c>
      <c r="Z1" s="3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93</v>
      </c>
      <c r="BD1" s="3" t="s">
        <v>94</v>
      </c>
      <c r="BE1" s="3" t="s">
        <v>54</v>
      </c>
      <c r="BF1" s="3" t="s">
        <v>55</v>
      </c>
      <c r="BG1" s="3" t="s">
        <v>56</v>
      </c>
      <c r="BH1" s="3" t="s">
        <v>77</v>
      </c>
      <c r="BI1" s="3" t="s">
        <v>186</v>
      </c>
      <c r="BJ1" s="3" t="s">
        <v>187</v>
      </c>
      <c r="BK1" s="3" t="s">
        <v>188</v>
      </c>
      <c r="BL1" s="3" t="s">
        <v>189</v>
      </c>
      <c r="BM1" s="3" t="s">
        <v>190</v>
      </c>
      <c r="BN1" s="3" t="s">
        <v>191</v>
      </c>
    </row>
    <row r="2" spans="1:66" x14ac:dyDescent="0.2">
      <c r="A2">
        <v>100003301</v>
      </c>
      <c r="B2" t="s">
        <v>57</v>
      </c>
      <c r="C2">
        <v>1</v>
      </c>
      <c r="D2" t="s">
        <v>58</v>
      </c>
      <c r="E2" t="s">
        <v>59</v>
      </c>
      <c r="F2" t="s">
        <v>67</v>
      </c>
      <c r="G2" t="s">
        <v>69</v>
      </c>
      <c r="H2" t="s">
        <v>57</v>
      </c>
      <c r="I2">
        <v>0.25</v>
      </c>
      <c r="J2">
        <v>0.25</v>
      </c>
      <c r="K2">
        <v>1.5</v>
      </c>
      <c r="L2">
        <v>22</v>
      </c>
      <c r="M2" t="s">
        <v>61</v>
      </c>
      <c r="N2" t="s">
        <v>73</v>
      </c>
      <c r="O2" t="s">
        <v>75</v>
      </c>
      <c r="P2">
        <v>22</v>
      </c>
      <c r="Q2">
        <f>0.25*0.25*1.5</f>
        <v>9.375E-2</v>
      </c>
      <c r="R2" t="s">
        <v>59</v>
      </c>
      <c r="S2" t="s">
        <v>67</v>
      </c>
      <c r="T2" t="s">
        <v>69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78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82</v>
      </c>
      <c r="AM2" t="s">
        <v>82</v>
      </c>
      <c r="AN2" t="s">
        <v>82</v>
      </c>
      <c r="AO2" t="s">
        <v>57</v>
      </c>
      <c r="AP2" t="s">
        <v>57</v>
      </c>
      <c r="AQ2" t="s">
        <v>83</v>
      </c>
      <c r="AR2" t="s">
        <v>83</v>
      </c>
      <c r="AS2" t="s">
        <v>83</v>
      </c>
      <c r="AT2" t="s">
        <v>84</v>
      </c>
      <c r="AU2" t="s">
        <v>84</v>
      </c>
      <c r="AV2" t="s">
        <v>84</v>
      </c>
      <c r="AW2">
        <v>100010301</v>
      </c>
      <c r="AX2">
        <v>4</v>
      </c>
      <c r="AY2">
        <v>100030001</v>
      </c>
      <c r="AZ2">
        <v>4</v>
      </c>
      <c r="BA2">
        <v>100010304</v>
      </c>
      <c r="BB2">
        <v>1</v>
      </c>
      <c r="BC2">
        <v>100023301</v>
      </c>
      <c r="BD2">
        <v>1</v>
      </c>
      <c r="BE2" t="s">
        <v>105</v>
      </c>
      <c r="BG2" t="s">
        <v>57</v>
      </c>
      <c r="BI2">
        <v>16000</v>
      </c>
      <c r="BJ2">
        <v>26000</v>
      </c>
      <c r="BK2">
        <v>36000</v>
      </c>
      <c r="BL2">
        <v>10</v>
      </c>
      <c r="BM2">
        <v>30</v>
      </c>
      <c r="BN2">
        <v>1</v>
      </c>
    </row>
    <row r="3" spans="1:66" x14ac:dyDescent="0.2">
      <c r="A3">
        <v>100003302</v>
      </c>
      <c r="B3" t="s">
        <v>57</v>
      </c>
      <c r="C3">
        <v>1</v>
      </c>
      <c r="D3" t="s">
        <v>58</v>
      </c>
      <c r="E3" t="s">
        <v>60</v>
      </c>
      <c r="F3" t="s">
        <v>64</v>
      </c>
      <c r="G3" t="s">
        <v>68</v>
      </c>
      <c r="H3" t="s">
        <v>57</v>
      </c>
      <c r="I3">
        <v>0.25</v>
      </c>
      <c r="J3">
        <v>0.25</v>
      </c>
      <c r="K3">
        <v>1.5</v>
      </c>
      <c r="L3">
        <v>22</v>
      </c>
      <c r="M3" t="s">
        <v>72</v>
      </c>
      <c r="N3" t="s">
        <v>74</v>
      </c>
      <c r="O3" t="s">
        <v>76</v>
      </c>
      <c r="P3">
        <v>22</v>
      </c>
      <c r="Q3">
        <f>0.25*0.25*1.5</f>
        <v>9.375E-2</v>
      </c>
      <c r="R3" t="s">
        <v>60</v>
      </c>
      <c r="S3" t="s">
        <v>64</v>
      </c>
      <c r="T3" t="s">
        <v>68</v>
      </c>
      <c r="U3" s="5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79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82</v>
      </c>
      <c r="AM3" t="s">
        <v>82</v>
      </c>
      <c r="AN3" t="s">
        <v>82</v>
      </c>
      <c r="AO3" t="s">
        <v>57</v>
      </c>
      <c r="AP3" t="s">
        <v>57</v>
      </c>
      <c r="AQ3" t="s">
        <v>83</v>
      </c>
      <c r="AR3" t="s">
        <v>83</v>
      </c>
      <c r="AS3" t="s">
        <v>83</v>
      </c>
      <c r="AT3" t="s">
        <v>84</v>
      </c>
      <c r="AU3" t="s">
        <v>84</v>
      </c>
      <c r="AV3" t="s">
        <v>84</v>
      </c>
      <c r="AW3">
        <v>100010302</v>
      </c>
      <c r="AX3">
        <v>4</v>
      </c>
      <c r="AY3">
        <v>100030001</v>
      </c>
      <c r="AZ3">
        <v>4</v>
      </c>
      <c r="BA3">
        <v>100010306</v>
      </c>
      <c r="BB3">
        <v>1</v>
      </c>
      <c r="BC3">
        <v>100026301</v>
      </c>
      <c r="BD3">
        <v>1</v>
      </c>
      <c r="BE3" t="s">
        <v>105</v>
      </c>
      <c r="BG3" t="s">
        <v>57</v>
      </c>
      <c r="BI3">
        <v>16000</v>
      </c>
      <c r="BJ3">
        <v>26000</v>
      </c>
      <c r="BK3">
        <v>36000</v>
      </c>
      <c r="BL3">
        <v>10</v>
      </c>
      <c r="BM3">
        <v>30</v>
      </c>
      <c r="BN3">
        <v>1</v>
      </c>
    </row>
    <row r="4" spans="1:66" x14ac:dyDescent="0.2">
      <c r="A4">
        <v>100006301</v>
      </c>
      <c r="B4" t="s">
        <v>57</v>
      </c>
      <c r="C4">
        <v>1</v>
      </c>
      <c r="D4" t="s">
        <v>58</v>
      </c>
      <c r="E4" t="s">
        <v>62</v>
      </c>
      <c r="F4" t="s">
        <v>66</v>
      </c>
      <c r="G4" s="4" t="s">
        <v>70</v>
      </c>
      <c r="H4" t="s">
        <v>57</v>
      </c>
      <c r="I4">
        <v>0.25</v>
      </c>
      <c r="J4">
        <v>0.45</v>
      </c>
      <c r="K4">
        <v>1.5</v>
      </c>
      <c r="L4">
        <v>35</v>
      </c>
      <c r="M4" t="s">
        <v>61</v>
      </c>
      <c r="N4" t="s">
        <v>73</v>
      </c>
      <c r="O4" t="s">
        <v>75</v>
      </c>
      <c r="P4">
        <v>35</v>
      </c>
      <c r="Q4">
        <f>0.25*0.45*1.5</f>
        <v>0.16875000000000001</v>
      </c>
      <c r="R4" t="s">
        <v>62</v>
      </c>
      <c r="S4" t="s">
        <v>66</v>
      </c>
      <c r="T4" s="4" t="s">
        <v>70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80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82</v>
      </c>
      <c r="AM4" t="s">
        <v>82</v>
      </c>
      <c r="AN4" t="s">
        <v>82</v>
      </c>
      <c r="AO4" t="s">
        <v>57</v>
      </c>
      <c r="AP4" t="s">
        <v>57</v>
      </c>
      <c r="AQ4" t="s">
        <v>83</v>
      </c>
      <c r="AR4" t="s">
        <v>83</v>
      </c>
      <c r="AS4" t="s">
        <v>83</v>
      </c>
      <c r="AT4" t="s">
        <v>84</v>
      </c>
      <c r="AU4" t="s">
        <v>84</v>
      </c>
      <c r="AV4" t="s">
        <v>84</v>
      </c>
      <c r="AW4">
        <v>100010301</v>
      </c>
      <c r="AX4">
        <v>6</v>
      </c>
      <c r="AY4">
        <v>100030001</v>
      </c>
      <c r="AZ4">
        <v>6</v>
      </c>
      <c r="BA4">
        <v>100010304</v>
      </c>
      <c r="BB4">
        <v>1</v>
      </c>
      <c r="BC4">
        <v>100023301</v>
      </c>
      <c r="BD4">
        <v>1</v>
      </c>
      <c r="BE4" t="s">
        <v>105</v>
      </c>
      <c r="BG4" t="s">
        <v>57</v>
      </c>
      <c r="BI4">
        <v>20000</v>
      </c>
      <c r="BJ4">
        <v>30000</v>
      </c>
      <c r="BK4">
        <v>40000</v>
      </c>
      <c r="BL4">
        <v>10</v>
      </c>
      <c r="BM4">
        <v>30</v>
      </c>
      <c r="BN4">
        <v>1</v>
      </c>
    </row>
    <row r="5" spans="1:66" x14ac:dyDescent="0.2">
      <c r="A5">
        <v>100006302</v>
      </c>
      <c r="B5" t="s">
        <v>57</v>
      </c>
      <c r="C5">
        <v>1</v>
      </c>
      <c r="D5" t="s">
        <v>58</v>
      </c>
      <c r="E5" t="s">
        <v>63</v>
      </c>
      <c r="F5" t="s">
        <v>65</v>
      </c>
      <c r="G5" s="4" t="s">
        <v>71</v>
      </c>
      <c r="H5" t="s">
        <v>57</v>
      </c>
      <c r="I5">
        <v>0.25</v>
      </c>
      <c r="J5">
        <v>0.45</v>
      </c>
      <c r="K5">
        <v>1.5</v>
      </c>
      <c r="L5">
        <v>35</v>
      </c>
      <c r="M5" t="s">
        <v>72</v>
      </c>
      <c r="N5" t="s">
        <v>74</v>
      </c>
      <c r="O5" t="s">
        <v>76</v>
      </c>
      <c r="P5">
        <v>35</v>
      </c>
      <c r="Q5">
        <f>0.25*0.45*1.5</f>
        <v>0.16875000000000001</v>
      </c>
      <c r="R5" t="s">
        <v>63</v>
      </c>
      <c r="S5" t="s">
        <v>65</v>
      </c>
      <c r="T5" s="4" t="s">
        <v>71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81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82</v>
      </c>
      <c r="AM5" t="s">
        <v>82</v>
      </c>
      <c r="AN5" t="s">
        <v>82</v>
      </c>
      <c r="AO5" t="s">
        <v>57</v>
      </c>
      <c r="AP5" t="s">
        <v>57</v>
      </c>
      <c r="AQ5" t="s">
        <v>83</v>
      </c>
      <c r="AR5" t="s">
        <v>83</v>
      </c>
      <c r="AS5" t="s">
        <v>83</v>
      </c>
      <c r="AT5" t="s">
        <v>84</v>
      </c>
      <c r="AU5" t="s">
        <v>84</v>
      </c>
      <c r="AV5" t="s">
        <v>84</v>
      </c>
      <c r="AW5">
        <v>100010302</v>
      </c>
      <c r="AX5">
        <v>6</v>
      </c>
      <c r="AY5">
        <v>100030001</v>
      </c>
      <c r="AZ5">
        <v>6</v>
      </c>
      <c r="BA5">
        <v>100010306</v>
      </c>
      <c r="BB5">
        <v>1</v>
      </c>
      <c r="BC5">
        <v>100026301</v>
      </c>
      <c r="BD5">
        <v>1</v>
      </c>
      <c r="BE5" t="s">
        <v>105</v>
      </c>
      <c r="BG5" t="s">
        <v>57</v>
      </c>
      <c r="BI5">
        <v>20000</v>
      </c>
      <c r="BJ5">
        <v>30000</v>
      </c>
      <c r="BK5">
        <v>40000</v>
      </c>
      <c r="BL5">
        <v>10</v>
      </c>
      <c r="BM5">
        <v>30</v>
      </c>
      <c r="BN5">
        <v>1</v>
      </c>
    </row>
    <row r="6" spans="1:66" x14ac:dyDescent="0.2">
      <c r="A6">
        <v>100010301</v>
      </c>
      <c r="B6" t="s">
        <v>57</v>
      </c>
      <c r="C6">
        <v>1</v>
      </c>
      <c r="D6" t="s">
        <v>58</v>
      </c>
      <c r="E6" t="s">
        <v>97</v>
      </c>
      <c r="F6" t="s">
        <v>95</v>
      </c>
      <c r="G6" s="4" t="s">
        <v>91</v>
      </c>
      <c r="H6" t="s">
        <v>57</v>
      </c>
      <c r="I6">
        <v>0.4</v>
      </c>
      <c r="J6">
        <v>0.4</v>
      </c>
      <c r="K6">
        <v>0.1</v>
      </c>
      <c r="L6">
        <v>1.5</v>
      </c>
      <c r="M6" t="s">
        <v>61</v>
      </c>
      <c r="N6" t="s">
        <v>73</v>
      </c>
      <c r="O6" t="s">
        <v>75</v>
      </c>
      <c r="P6">
        <v>1.5</v>
      </c>
      <c r="Q6">
        <f>0.4*0.4*0.1</f>
        <v>1.6000000000000004E-2</v>
      </c>
      <c r="R6" t="s">
        <v>97</v>
      </c>
      <c r="S6" t="s">
        <v>95</v>
      </c>
      <c r="T6" s="4" t="s">
        <v>91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82</v>
      </c>
      <c r="AM6" t="s">
        <v>85</v>
      </c>
      <c r="AN6" t="s">
        <v>88</v>
      </c>
      <c r="AO6" t="s">
        <v>57</v>
      </c>
      <c r="AP6" t="s">
        <v>57</v>
      </c>
      <c r="AQ6" t="s">
        <v>83</v>
      </c>
      <c r="AR6" t="s">
        <v>86</v>
      </c>
      <c r="AS6" t="s">
        <v>89</v>
      </c>
      <c r="AT6" t="s">
        <v>84</v>
      </c>
      <c r="AU6" t="s">
        <v>87</v>
      </c>
      <c r="AV6" t="s">
        <v>90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105</v>
      </c>
      <c r="BG6" t="s">
        <v>57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</row>
    <row r="7" spans="1:66" x14ac:dyDescent="0.2">
      <c r="A7">
        <v>100010302</v>
      </c>
      <c r="B7" t="s">
        <v>57</v>
      </c>
      <c r="C7">
        <v>1</v>
      </c>
      <c r="D7" t="s">
        <v>58</v>
      </c>
      <c r="E7" t="s">
        <v>98</v>
      </c>
      <c r="F7" t="s">
        <v>96</v>
      </c>
      <c r="G7" s="4" t="s">
        <v>92</v>
      </c>
      <c r="H7" t="s">
        <v>57</v>
      </c>
      <c r="I7">
        <v>0.4</v>
      </c>
      <c r="J7">
        <v>0.4</v>
      </c>
      <c r="K7">
        <v>0.1</v>
      </c>
      <c r="L7">
        <v>1.5</v>
      </c>
      <c r="M7" t="s">
        <v>72</v>
      </c>
      <c r="N7" t="s">
        <v>74</v>
      </c>
      <c r="O7" t="s">
        <v>76</v>
      </c>
      <c r="P7">
        <v>1.5</v>
      </c>
      <c r="Q7">
        <f>0.4*0.4*0.1</f>
        <v>1.6000000000000004E-2</v>
      </c>
      <c r="R7" t="s">
        <v>98</v>
      </c>
      <c r="S7" t="s">
        <v>96</v>
      </c>
      <c r="T7" s="4" t="s">
        <v>92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82</v>
      </c>
      <c r="AM7" t="s">
        <v>85</v>
      </c>
      <c r="AN7" t="s">
        <v>88</v>
      </c>
      <c r="AO7" t="s">
        <v>57</v>
      </c>
      <c r="AP7" t="s">
        <v>57</v>
      </c>
      <c r="AQ7" t="s">
        <v>83</v>
      </c>
      <c r="AR7" t="s">
        <v>86</v>
      </c>
      <c r="AS7" t="s">
        <v>89</v>
      </c>
      <c r="AT7" t="s">
        <v>84</v>
      </c>
      <c r="AU7" t="s">
        <v>87</v>
      </c>
      <c r="AV7" t="s">
        <v>90</v>
      </c>
      <c r="AW7" t="s">
        <v>57</v>
      </c>
      <c r="AX7" t="s">
        <v>57</v>
      </c>
      <c r="AY7" t="s">
        <v>57</v>
      </c>
      <c r="AZ7" t="s">
        <v>57</v>
      </c>
      <c r="BA7" t="s">
        <v>57</v>
      </c>
      <c r="BB7" t="s">
        <v>57</v>
      </c>
      <c r="BC7" t="s">
        <v>57</v>
      </c>
      <c r="BD7" t="s">
        <v>57</v>
      </c>
      <c r="BE7" t="s">
        <v>105</v>
      </c>
      <c r="BG7" t="s">
        <v>57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</row>
    <row r="8" spans="1:66" x14ac:dyDescent="0.2">
      <c r="A8">
        <v>100010304</v>
      </c>
      <c r="B8" t="s">
        <v>57</v>
      </c>
      <c r="C8">
        <v>1</v>
      </c>
      <c r="D8" t="s">
        <v>58</v>
      </c>
      <c r="E8" t="s">
        <v>99</v>
      </c>
      <c r="F8" t="s">
        <v>100</v>
      </c>
      <c r="G8" t="s">
        <v>101</v>
      </c>
      <c r="H8" t="s">
        <v>57</v>
      </c>
      <c r="I8">
        <v>0.5</v>
      </c>
      <c r="J8">
        <v>0.5</v>
      </c>
      <c r="K8">
        <v>0.3</v>
      </c>
      <c r="L8">
        <v>2</v>
      </c>
      <c r="M8" t="s">
        <v>72</v>
      </c>
      <c r="N8" t="s">
        <v>74</v>
      </c>
      <c r="O8" t="s">
        <v>76</v>
      </c>
      <c r="P8">
        <v>2</v>
      </c>
      <c r="Q8">
        <f>0.5*0.5*0.3</f>
        <v>7.4999999999999997E-2</v>
      </c>
      <c r="R8" t="s">
        <v>99</v>
      </c>
      <c r="S8" t="s">
        <v>100</v>
      </c>
      <c r="T8" t="s">
        <v>101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124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82</v>
      </c>
      <c r="AM8" t="s">
        <v>85</v>
      </c>
      <c r="AN8" t="s">
        <v>119</v>
      </c>
      <c r="AO8" t="s">
        <v>57</v>
      </c>
      <c r="AP8" t="s">
        <v>57</v>
      </c>
      <c r="AQ8" t="s">
        <v>83</v>
      </c>
      <c r="AR8" t="s">
        <v>86</v>
      </c>
      <c r="AS8" t="s">
        <v>117</v>
      </c>
      <c r="AT8" t="s">
        <v>84</v>
      </c>
      <c r="AU8" t="s">
        <v>87</v>
      </c>
      <c r="AV8" t="s">
        <v>118</v>
      </c>
      <c r="AW8" t="s">
        <v>57</v>
      </c>
      <c r="AX8" t="s">
        <v>57</v>
      </c>
      <c r="AY8" t="s">
        <v>57</v>
      </c>
      <c r="AZ8" t="s">
        <v>57</v>
      </c>
      <c r="BA8" t="s">
        <v>57</v>
      </c>
      <c r="BB8" t="s">
        <v>57</v>
      </c>
      <c r="BC8" t="s">
        <v>57</v>
      </c>
      <c r="BD8" t="s">
        <v>57</v>
      </c>
      <c r="BE8" t="s">
        <v>105</v>
      </c>
      <c r="BG8" t="s">
        <v>57</v>
      </c>
      <c r="BI8">
        <v>0</v>
      </c>
      <c r="BJ8">
        <v>0</v>
      </c>
      <c r="BK8">
        <v>0</v>
      </c>
      <c r="BL8">
        <v>0</v>
      </c>
      <c r="BM8">
        <v>0</v>
      </c>
      <c r="BN8">
        <v>2</v>
      </c>
    </row>
    <row r="9" spans="1:66" x14ac:dyDescent="0.2">
      <c r="A9">
        <v>100010306</v>
      </c>
      <c r="B9" t="s">
        <v>57</v>
      </c>
      <c r="C9">
        <v>1</v>
      </c>
      <c r="D9" t="s">
        <v>58</v>
      </c>
      <c r="E9" t="s">
        <v>102</v>
      </c>
      <c r="F9" t="s">
        <v>103</v>
      </c>
      <c r="G9" t="s">
        <v>104</v>
      </c>
      <c r="H9" t="s">
        <v>57</v>
      </c>
      <c r="I9">
        <v>0.5</v>
      </c>
      <c r="J9">
        <v>0.5</v>
      </c>
      <c r="K9">
        <v>0.5</v>
      </c>
      <c r="L9">
        <v>3</v>
      </c>
      <c r="M9" t="s">
        <v>72</v>
      </c>
      <c r="N9" t="s">
        <v>74</v>
      </c>
      <c r="O9" t="s">
        <v>76</v>
      </c>
      <c r="P9">
        <v>3</v>
      </c>
      <c r="Q9">
        <f>0.5*0.5*0.5</f>
        <v>0.125</v>
      </c>
      <c r="R9" t="s">
        <v>102</v>
      </c>
      <c r="S9" t="s">
        <v>103</v>
      </c>
      <c r="T9" t="s">
        <v>104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125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82</v>
      </c>
      <c r="AM9" t="s">
        <v>85</v>
      </c>
      <c r="AN9" t="s">
        <v>119</v>
      </c>
      <c r="AO9" t="s">
        <v>57</v>
      </c>
      <c r="AP9" t="s">
        <v>57</v>
      </c>
      <c r="AQ9" t="s">
        <v>83</v>
      </c>
      <c r="AR9" t="s">
        <v>86</v>
      </c>
      <c r="AS9" t="s">
        <v>117</v>
      </c>
      <c r="AT9" t="s">
        <v>84</v>
      </c>
      <c r="AU9" t="s">
        <v>87</v>
      </c>
      <c r="AV9" t="s">
        <v>118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s">
        <v>105</v>
      </c>
      <c r="BG9" t="s">
        <v>57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</row>
    <row r="10" spans="1:66" x14ac:dyDescent="0.2">
      <c r="A10">
        <v>100023301</v>
      </c>
      <c r="B10" t="s">
        <v>57</v>
      </c>
      <c r="C10">
        <v>1</v>
      </c>
      <c r="D10" t="s">
        <v>58</v>
      </c>
      <c r="E10" t="s">
        <v>106</v>
      </c>
      <c r="F10" t="s">
        <v>122</v>
      </c>
      <c r="G10" t="s">
        <v>120</v>
      </c>
      <c r="H10" t="s">
        <v>57</v>
      </c>
      <c r="I10">
        <v>0.25</v>
      </c>
      <c r="J10">
        <v>0.25</v>
      </c>
      <c r="K10">
        <v>1.5</v>
      </c>
      <c r="L10">
        <v>5</v>
      </c>
      <c r="M10" t="s">
        <v>72</v>
      </c>
      <c r="N10" t="s">
        <v>74</v>
      </c>
      <c r="O10" t="s">
        <v>76</v>
      </c>
      <c r="P10">
        <v>5</v>
      </c>
      <c r="Q10">
        <f>0.25*0.25*1.5</f>
        <v>9.375E-2</v>
      </c>
      <c r="R10" t="s">
        <v>106</v>
      </c>
      <c r="S10" t="s">
        <v>122</v>
      </c>
      <c r="T10" t="s">
        <v>120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126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82</v>
      </c>
      <c r="AM10" t="s">
        <v>85</v>
      </c>
      <c r="AN10" t="s">
        <v>119</v>
      </c>
      <c r="AO10" t="s">
        <v>57</v>
      </c>
      <c r="AP10" t="s">
        <v>57</v>
      </c>
      <c r="AQ10" t="s">
        <v>83</v>
      </c>
      <c r="AR10" t="s">
        <v>86</v>
      </c>
      <c r="AS10" t="s">
        <v>117</v>
      </c>
      <c r="AT10" t="s">
        <v>84</v>
      </c>
      <c r="AU10" t="s">
        <v>87</v>
      </c>
      <c r="AV10" t="s">
        <v>118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s">
        <v>105</v>
      </c>
      <c r="BG10" t="s">
        <v>57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</row>
    <row r="11" spans="1:66" x14ac:dyDescent="0.2">
      <c r="A11">
        <v>100026301</v>
      </c>
      <c r="B11" t="s">
        <v>57</v>
      </c>
      <c r="C11">
        <v>1</v>
      </c>
      <c r="D11" t="s">
        <v>58</v>
      </c>
      <c r="E11" t="s">
        <v>107</v>
      </c>
      <c r="F11" t="s">
        <v>123</v>
      </c>
      <c r="G11" t="s">
        <v>121</v>
      </c>
      <c r="H11" t="s">
        <v>57</v>
      </c>
      <c r="I11">
        <v>0.25</v>
      </c>
      <c r="J11">
        <v>0.45</v>
      </c>
      <c r="K11">
        <v>1.5</v>
      </c>
      <c r="L11">
        <v>6</v>
      </c>
      <c r="M11" t="s">
        <v>72</v>
      </c>
      <c r="N11" t="s">
        <v>74</v>
      </c>
      <c r="O11" t="s">
        <v>76</v>
      </c>
      <c r="P11">
        <v>6</v>
      </c>
      <c r="Q11">
        <f>0.25*0.45*1.5</f>
        <v>0.16875000000000001</v>
      </c>
      <c r="R11" t="s">
        <v>107</v>
      </c>
      <c r="S11" t="s">
        <v>123</v>
      </c>
      <c r="T11" t="s">
        <v>121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127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82</v>
      </c>
      <c r="AM11" t="s">
        <v>85</v>
      </c>
      <c r="AN11" t="s">
        <v>119</v>
      </c>
      <c r="AO11" t="s">
        <v>57</v>
      </c>
      <c r="AP11" t="s">
        <v>57</v>
      </c>
      <c r="AQ11" t="s">
        <v>83</v>
      </c>
      <c r="AR11" t="s">
        <v>86</v>
      </c>
      <c r="AS11" t="s">
        <v>117</v>
      </c>
      <c r="AT11" t="s">
        <v>84</v>
      </c>
      <c r="AU11" t="s">
        <v>87</v>
      </c>
      <c r="AV11" t="s">
        <v>118</v>
      </c>
      <c r="AW11" t="s">
        <v>57</v>
      </c>
      <c r="AX11" t="s">
        <v>57</v>
      </c>
      <c r="AY11" t="s">
        <v>57</v>
      </c>
      <c r="AZ11" t="s">
        <v>57</v>
      </c>
      <c r="BA11" t="s">
        <v>57</v>
      </c>
      <c r="BB11" t="s">
        <v>57</v>
      </c>
      <c r="BC11" t="s">
        <v>57</v>
      </c>
      <c r="BD11" t="s">
        <v>57</v>
      </c>
      <c r="BE11" t="s">
        <v>105</v>
      </c>
      <c r="BG11" t="s">
        <v>57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</row>
    <row r="12" spans="1:66" x14ac:dyDescent="0.2">
      <c r="A12">
        <v>100030001</v>
      </c>
      <c r="C12">
        <v>1</v>
      </c>
      <c r="D12" t="s">
        <v>58</v>
      </c>
      <c r="E12" t="s">
        <v>111</v>
      </c>
      <c r="F12" t="s">
        <v>112</v>
      </c>
      <c r="G12" t="s">
        <v>113</v>
      </c>
      <c r="H12" t="s">
        <v>57</v>
      </c>
      <c r="I12">
        <v>0.2</v>
      </c>
      <c r="J12">
        <v>1</v>
      </c>
      <c r="K12">
        <v>0.1</v>
      </c>
      <c r="M12" t="s">
        <v>109</v>
      </c>
      <c r="N12" t="s">
        <v>110</v>
      </c>
      <c r="O12" t="s">
        <v>108</v>
      </c>
      <c r="P12">
        <v>15</v>
      </c>
      <c r="Q12">
        <f>0.2*0.1</f>
        <v>2.0000000000000004E-2</v>
      </c>
      <c r="R12" t="s">
        <v>111</v>
      </c>
      <c r="S12" t="s">
        <v>112</v>
      </c>
      <c r="T12" t="s">
        <v>113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128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82</v>
      </c>
      <c r="AM12" t="s">
        <v>85</v>
      </c>
      <c r="AN12" t="s">
        <v>115</v>
      </c>
      <c r="AO12" t="s">
        <v>57</v>
      </c>
      <c r="AP12" t="s">
        <v>57</v>
      </c>
      <c r="AQ12" t="s">
        <v>83</v>
      </c>
      <c r="AR12" t="s">
        <v>86</v>
      </c>
      <c r="AS12" t="s">
        <v>114</v>
      </c>
      <c r="AT12" t="s">
        <v>84</v>
      </c>
      <c r="AU12" t="s">
        <v>87</v>
      </c>
      <c r="AV12" t="s">
        <v>116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s">
        <v>105</v>
      </c>
      <c r="BG12" t="s">
        <v>57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AEAD-9D95-EC45-8D59-4CE3D7CD0190}">
  <dimension ref="A1:D66"/>
  <sheetViews>
    <sheetView tabSelected="1" topLeftCell="A36" zoomScale="130" zoomScaleNormal="130" workbookViewId="0">
      <selection activeCell="B67" sqref="B67"/>
    </sheetView>
  </sheetViews>
  <sheetFormatPr baseColWidth="10" defaultRowHeight="16" x14ac:dyDescent="0.2"/>
  <cols>
    <col min="1" max="1" width="39.33203125" bestFit="1" customWidth="1"/>
    <col min="2" max="2" width="17.83203125" bestFit="1" customWidth="1"/>
    <col min="4" max="4" width="21.6640625" bestFit="1" customWidth="1"/>
  </cols>
  <sheetData>
    <row r="1" spans="1:4" ht="17" x14ac:dyDescent="0.25">
      <c r="A1" s="1" t="s">
        <v>0</v>
      </c>
      <c r="B1" t="s">
        <v>130</v>
      </c>
      <c r="C1" t="s">
        <v>131</v>
      </c>
      <c r="D1" t="s">
        <v>139</v>
      </c>
    </row>
    <row r="2" spans="1:4" ht="17" x14ac:dyDescent="0.25">
      <c r="A2" s="2" t="s">
        <v>1</v>
      </c>
      <c r="B2" t="s">
        <v>132</v>
      </c>
    </row>
    <row r="3" spans="1:4" x14ac:dyDescent="0.2">
      <c r="A3" s="3" t="s">
        <v>129</v>
      </c>
      <c r="B3" t="s">
        <v>133</v>
      </c>
    </row>
    <row r="4" spans="1:4" x14ac:dyDescent="0.2">
      <c r="A4" t="s">
        <v>2</v>
      </c>
      <c r="B4" t="s">
        <v>134</v>
      </c>
    </row>
    <row r="5" spans="1:4" x14ac:dyDescent="0.2">
      <c r="A5" t="s">
        <v>3</v>
      </c>
      <c r="B5" t="s">
        <v>135</v>
      </c>
    </row>
    <row r="6" spans="1:4" x14ac:dyDescent="0.2">
      <c r="A6" t="s">
        <v>4</v>
      </c>
      <c r="B6" t="s">
        <v>136</v>
      </c>
    </row>
    <row r="7" spans="1:4" x14ac:dyDescent="0.2">
      <c r="A7" s="3" t="s">
        <v>5</v>
      </c>
      <c r="B7" t="s">
        <v>137</v>
      </c>
    </row>
    <row r="8" spans="1:4" x14ac:dyDescent="0.2">
      <c r="A8" t="s">
        <v>6</v>
      </c>
      <c r="B8" t="s">
        <v>138</v>
      </c>
    </row>
    <row r="9" spans="1:4" x14ac:dyDescent="0.2">
      <c r="A9" t="s">
        <v>7</v>
      </c>
      <c r="B9" t="s">
        <v>140</v>
      </c>
    </row>
    <row r="10" spans="1:4" x14ac:dyDescent="0.2">
      <c r="A10" t="s">
        <v>8</v>
      </c>
      <c r="B10" t="s">
        <v>141</v>
      </c>
    </row>
    <row r="11" spans="1:4" x14ac:dyDescent="0.2">
      <c r="A11" t="s">
        <v>9</v>
      </c>
      <c r="B11" t="s">
        <v>142</v>
      </c>
    </row>
    <row r="12" spans="1:4" x14ac:dyDescent="0.2">
      <c r="A12" t="s">
        <v>10</v>
      </c>
      <c r="B12" t="s">
        <v>145</v>
      </c>
    </row>
    <row r="13" spans="1:4" x14ac:dyDescent="0.2">
      <c r="A13" s="3" t="s">
        <v>11</v>
      </c>
      <c r="B13" t="s">
        <v>146</v>
      </c>
    </row>
    <row r="14" spans="1:4" x14ac:dyDescent="0.2">
      <c r="A14" s="3" t="s">
        <v>143</v>
      </c>
      <c r="B14" t="s">
        <v>147</v>
      </c>
    </row>
    <row r="15" spans="1:4" x14ac:dyDescent="0.2">
      <c r="A15" s="3" t="s">
        <v>144</v>
      </c>
      <c r="B15" t="s">
        <v>148</v>
      </c>
    </row>
    <row r="16" spans="1:4" x14ac:dyDescent="0.2">
      <c r="A16" t="s">
        <v>12</v>
      </c>
      <c r="B16" t="s">
        <v>149</v>
      </c>
    </row>
    <row r="17" spans="1:2" x14ac:dyDescent="0.2">
      <c r="A17" t="s">
        <v>13</v>
      </c>
      <c r="B17" t="s">
        <v>150</v>
      </c>
    </row>
    <row r="18" spans="1:2" x14ac:dyDescent="0.2">
      <c r="A18" t="s">
        <v>14</v>
      </c>
      <c r="B18" t="s">
        <v>151</v>
      </c>
    </row>
    <row r="19" spans="1:2" x14ac:dyDescent="0.2">
      <c r="A19" t="s">
        <v>15</v>
      </c>
      <c r="B19" t="s">
        <v>152</v>
      </c>
    </row>
    <row r="20" spans="1:2" x14ac:dyDescent="0.2">
      <c r="A20" s="3" t="s">
        <v>16</v>
      </c>
      <c r="B20" t="s">
        <v>153</v>
      </c>
    </row>
    <row r="21" spans="1:2" x14ac:dyDescent="0.2">
      <c r="A21" t="s">
        <v>17</v>
      </c>
      <c r="B21" t="s">
        <v>154</v>
      </c>
    </row>
    <row r="22" spans="1:2" x14ac:dyDescent="0.2">
      <c r="A22" s="3" t="s">
        <v>18</v>
      </c>
      <c r="B22" t="s">
        <v>155</v>
      </c>
    </row>
    <row r="23" spans="1:2" x14ac:dyDescent="0.2">
      <c r="A23" t="s">
        <v>19</v>
      </c>
      <c r="B23" t="s">
        <v>156</v>
      </c>
    </row>
    <row r="24" spans="1:2" x14ac:dyDescent="0.2">
      <c r="A24" s="3" t="s">
        <v>20</v>
      </c>
      <c r="B24" t="s">
        <v>157</v>
      </c>
    </row>
    <row r="25" spans="1:2" x14ac:dyDescent="0.2">
      <c r="A25" t="s">
        <v>21</v>
      </c>
      <c r="B25" t="s">
        <v>158</v>
      </c>
    </row>
    <row r="26" spans="1:2" x14ac:dyDescent="0.2">
      <c r="A26" s="3" t="s">
        <v>22</v>
      </c>
      <c r="B26" t="s">
        <v>159</v>
      </c>
    </row>
    <row r="27" spans="1:2" x14ac:dyDescent="0.2">
      <c r="A27" t="s">
        <v>23</v>
      </c>
      <c r="B27" t="s">
        <v>160</v>
      </c>
    </row>
    <row r="28" spans="1:2" x14ac:dyDescent="0.2">
      <c r="A28" t="s">
        <v>24</v>
      </c>
      <c r="B28" t="s">
        <v>161</v>
      </c>
    </row>
    <row r="29" spans="1:2" x14ac:dyDescent="0.2">
      <c r="A29" t="s">
        <v>25</v>
      </c>
      <c r="B29" t="s">
        <v>162</v>
      </c>
    </row>
    <row r="30" spans="1:2" x14ac:dyDescent="0.2">
      <c r="A30" t="s">
        <v>26</v>
      </c>
      <c r="B30" t="s">
        <v>163</v>
      </c>
    </row>
    <row r="31" spans="1:2" x14ac:dyDescent="0.2">
      <c r="A31" t="s">
        <v>27</v>
      </c>
      <c r="B31" t="s">
        <v>164</v>
      </c>
    </row>
    <row r="32" spans="1:2" x14ac:dyDescent="0.2">
      <c r="A32" t="s">
        <v>28</v>
      </c>
      <c r="B32" t="s">
        <v>165</v>
      </c>
    </row>
    <row r="33" spans="1:2" x14ac:dyDescent="0.2">
      <c r="A33" t="s">
        <v>29</v>
      </c>
    </row>
    <row r="34" spans="1:2" x14ac:dyDescent="0.2">
      <c r="A34" t="s">
        <v>30</v>
      </c>
    </row>
    <row r="35" spans="1:2" x14ac:dyDescent="0.2">
      <c r="A35" t="s">
        <v>31</v>
      </c>
    </row>
    <row r="36" spans="1:2" x14ac:dyDescent="0.2">
      <c r="A36" t="s">
        <v>32</v>
      </c>
    </row>
    <row r="37" spans="1:2" x14ac:dyDescent="0.2">
      <c r="A37" t="s">
        <v>33</v>
      </c>
    </row>
    <row r="38" spans="1:2" x14ac:dyDescent="0.2">
      <c r="A38" t="s">
        <v>34</v>
      </c>
      <c r="B38" t="s">
        <v>166</v>
      </c>
    </row>
    <row r="39" spans="1:2" x14ac:dyDescent="0.2">
      <c r="A39" t="s">
        <v>35</v>
      </c>
      <c r="B39" t="s">
        <v>167</v>
      </c>
    </row>
    <row r="40" spans="1:2" x14ac:dyDescent="0.2">
      <c r="A40" t="s">
        <v>36</v>
      </c>
      <c r="B40" t="s">
        <v>169</v>
      </c>
    </row>
    <row r="41" spans="1:2" x14ac:dyDescent="0.2">
      <c r="A41" t="s">
        <v>37</v>
      </c>
    </row>
    <row r="42" spans="1:2" x14ac:dyDescent="0.2">
      <c r="A42" t="s">
        <v>38</v>
      </c>
      <c r="B42" t="s">
        <v>168</v>
      </c>
    </row>
    <row r="43" spans="1:2" x14ac:dyDescent="0.2">
      <c r="A43" t="s">
        <v>39</v>
      </c>
      <c r="B43" t="s">
        <v>170</v>
      </c>
    </row>
    <row r="44" spans="1:2" x14ac:dyDescent="0.2">
      <c r="A44" t="s">
        <v>40</v>
      </c>
      <c r="B44" t="s">
        <v>171</v>
      </c>
    </row>
    <row r="45" spans="1:2" x14ac:dyDescent="0.2">
      <c r="A45" t="s">
        <v>41</v>
      </c>
      <c r="B45" t="s">
        <v>172</v>
      </c>
    </row>
    <row r="46" spans="1:2" x14ac:dyDescent="0.2">
      <c r="A46" s="3" t="s">
        <v>42</v>
      </c>
      <c r="B46" t="s">
        <v>173</v>
      </c>
    </row>
    <row r="47" spans="1:2" x14ac:dyDescent="0.2">
      <c r="A47" s="3" t="s">
        <v>43</v>
      </c>
      <c r="B47" t="s">
        <v>174</v>
      </c>
    </row>
    <row r="48" spans="1:2" x14ac:dyDescent="0.2">
      <c r="A48" s="3" t="s">
        <v>44</v>
      </c>
      <c r="B48" t="s">
        <v>175</v>
      </c>
    </row>
    <row r="49" spans="1:2" x14ac:dyDescent="0.2">
      <c r="A49" s="3" t="s">
        <v>45</v>
      </c>
      <c r="B49" t="s">
        <v>176</v>
      </c>
    </row>
    <row r="50" spans="1:2" x14ac:dyDescent="0.2">
      <c r="A50" s="3" t="s">
        <v>46</v>
      </c>
      <c r="B50" t="s">
        <v>177</v>
      </c>
    </row>
    <row r="51" spans="1:2" x14ac:dyDescent="0.2">
      <c r="A51" s="3" t="s">
        <v>47</v>
      </c>
      <c r="B51" t="s">
        <v>178</v>
      </c>
    </row>
    <row r="52" spans="1:2" x14ac:dyDescent="0.2">
      <c r="A52" s="3" t="s">
        <v>48</v>
      </c>
      <c r="B52" t="s">
        <v>179</v>
      </c>
    </row>
    <row r="53" spans="1:2" x14ac:dyDescent="0.2">
      <c r="A53" s="3" t="s">
        <v>49</v>
      </c>
      <c r="B53" t="s">
        <v>180</v>
      </c>
    </row>
    <row r="54" spans="1:2" x14ac:dyDescent="0.2">
      <c r="A54" s="3" t="s">
        <v>50</v>
      </c>
      <c r="B54" t="s">
        <v>181</v>
      </c>
    </row>
    <row r="55" spans="1:2" x14ac:dyDescent="0.2">
      <c r="A55" s="3" t="s">
        <v>93</v>
      </c>
      <c r="B55" t="s">
        <v>180</v>
      </c>
    </row>
    <row r="56" spans="1:2" x14ac:dyDescent="0.2">
      <c r="A56" s="3" t="s">
        <v>94</v>
      </c>
      <c r="B56" t="s">
        <v>181</v>
      </c>
    </row>
    <row r="57" spans="1:2" x14ac:dyDescent="0.2">
      <c r="A57" s="3" t="s">
        <v>54</v>
      </c>
      <c r="B57" t="s">
        <v>182</v>
      </c>
    </row>
    <row r="58" spans="1:2" x14ac:dyDescent="0.2">
      <c r="A58" s="3" t="s">
        <v>55</v>
      </c>
      <c r="B58" t="s">
        <v>183</v>
      </c>
    </row>
    <row r="59" spans="1:2" x14ac:dyDescent="0.2">
      <c r="A59" s="3" t="s">
        <v>56</v>
      </c>
      <c r="B59" t="s">
        <v>184</v>
      </c>
    </row>
    <row r="60" spans="1:2" x14ac:dyDescent="0.2">
      <c r="A60" s="3" t="s">
        <v>77</v>
      </c>
      <c r="B60" t="s">
        <v>185</v>
      </c>
    </row>
    <row r="61" spans="1:2" x14ac:dyDescent="0.2">
      <c r="A61" s="3" t="s">
        <v>186</v>
      </c>
      <c r="B61" t="s">
        <v>192</v>
      </c>
    </row>
    <row r="62" spans="1:2" x14ac:dyDescent="0.2">
      <c r="A62" s="3" t="s">
        <v>187</v>
      </c>
      <c r="B62" t="s">
        <v>193</v>
      </c>
    </row>
    <row r="63" spans="1:2" x14ac:dyDescent="0.2">
      <c r="A63" s="3" t="s">
        <v>188</v>
      </c>
      <c r="B63" t="s">
        <v>194</v>
      </c>
    </row>
    <row r="64" spans="1:2" x14ac:dyDescent="0.2">
      <c r="A64" s="3" t="s">
        <v>189</v>
      </c>
      <c r="B64" t="s">
        <v>195</v>
      </c>
    </row>
    <row r="65" spans="1:2" x14ac:dyDescent="0.2">
      <c r="A65" s="3" t="s">
        <v>190</v>
      </c>
      <c r="B65" t="s">
        <v>196</v>
      </c>
    </row>
    <row r="66" spans="1:2" x14ac:dyDescent="0.2">
      <c r="A66" s="3" t="s">
        <v>191</v>
      </c>
      <c r="B6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2026-05-19T21:07:00Z</dcterms:created>
  <dcterms:modified xsi:type="dcterms:W3CDTF">2026-05-20T00:09:01Z</dcterms:modified>
</cp:coreProperties>
</file>