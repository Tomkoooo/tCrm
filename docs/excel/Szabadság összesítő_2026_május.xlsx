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  <Override PartName="/xl/commentsmeta7" ContentType="application/binary"/>
  <Override PartName="/xl/commentsmeta8" ContentType="application/binary"/>
  <Override PartName="/xl/commentsmeta9" ContentType="application/binary"/>
  <Override PartName="/xl/commentsmeta10" ContentType="application/binary"/>
  <Override PartName="/xl/commentsmeta1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OneDrive\Asztali gép\Munka\Cégek\SAKKMED 2005.KFT_2020.11.04\Munkaügyi dokumentumok\Számfejtő, bérjegyzék\2026\"/>
    </mc:Choice>
  </mc:AlternateContent>
  <xr:revisionPtr revIDLastSave="0" documentId="13_ncr:1_{4A269CF3-3572-42D2-AFB6-F59BB34649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zabadság 2026" sheetId="15" r:id="rId1"/>
    <sheet name="Szabadság 2025" sheetId="14" r:id="rId2"/>
    <sheet name="Szabadság 2024" sheetId="1" r:id="rId3"/>
    <sheet name="Szabadság 2023" sheetId="2" r:id="rId4"/>
    <sheet name="Szabadság 2022" sheetId="3" r:id="rId5"/>
    <sheet name="Szabadság 2021" sheetId="4" r:id="rId6"/>
    <sheet name="Sakkmed Alkalmi 2021" sheetId="5" r:id="rId7"/>
    <sheet name="Szabadság 2020" sheetId="6" r:id="rId8"/>
    <sheet name="Szabadság 2019" sheetId="7" r:id="rId9"/>
    <sheet name="Szabadság 2018" sheetId="8" r:id="rId10"/>
    <sheet name="SAKKMED_Szabadság_2017" sheetId="9" r:id="rId11"/>
    <sheet name="Szabadásg 2016" sheetId="10" r:id="rId12"/>
    <sheet name="Szabadság 2015" sheetId="11" r:id="rId13"/>
    <sheet name="Sakkmed_szabadság_2014" sheetId="12" r:id="rId14"/>
    <sheet name="Sakkmed_szabadság_2013" sheetId="13" r:id="rId15"/>
  </sheets>
  <calcPr calcId="191029"/>
  <extLst>
    <ext uri="GoogleSheetsCustomDataVersion2">
      <go:sheetsCustomData xmlns:go="http://customooxmlschemas.google.com/" r:id="rId17" roundtripDataChecksum="pu6YG3I0GrqnNjrmneBaWb4OqBd/t3kpQKvgNEulKuY="/>
    </ext>
  </extLst>
</workbook>
</file>

<file path=xl/calcChain.xml><?xml version="1.0" encoding="utf-8"?>
<calcChain xmlns="http://schemas.openxmlformats.org/spreadsheetml/2006/main">
  <c r="AA16" i="15" l="1"/>
  <c r="AA17" i="15"/>
  <c r="AA21" i="15"/>
  <c r="AA3" i="15"/>
  <c r="AA4" i="15"/>
  <c r="AA5" i="15"/>
  <c r="AA6" i="15"/>
  <c r="AA7" i="15"/>
  <c r="AA8" i="15"/>
  <c r="AA9" i="15"/>
  <c r="AA10" i="15"/>
  <c r="AA11" i="15"/>
  <c r="AA12" i="15"/>
  <c r="AA15" i="15"/>
  <c r="AA20" i="15"/>
  <c r="AA2" i="15"/>
  <c r="AA21" i="14"/>
  <c r="AA13" i="14"/>
  <c r="AA14" i="14"/>
  <c r="AA20" i="14"/>
  <c r="AA17" i="14"/>
  <c r="AA3" i="14"/>
  <c r="AA4" i="14"/>
  <c r="AA5" i="14"/>
  <c r="AA6" i="14"/>
  <c r="AA7" i="14"/>
  <c r="AA9" i="14"/>
  <c r="AA10" i="14"/>
  <c r="AA11" i="14"/>
  <c r="AA12" i="14"/>
  <c r="AA2" i="14"/>
  <c r="U24" i="1"/>
  <c r="O12" i="13"/>
  <c r="O11" i="13"/>
  <c r="O10" i="13"/>
  <c r="O9" i="13"/>
  <c r="O8" i="13"/>
  <c r="O7" i="13"/>
  <c r="O6" i="13"/>
  <c r="O5" i="13"/>
  <c r="O13" i="12"/>
  <c r="O12" i="12"/>
  <c r="O11" i="12"/>
  <c r="O10" i="12"/>
  <c r="O9" i="12"/>
  <c r="O8" i="12"/>
  <c r="O7" i="12"/>
  <c r="O6" i="12"/>
  <c r="O5" i="12"/>
  <c r="O16" i="11"/>
  <c r="O15" i="11"/>
  <c r="O14" i="11"/>
  <c r="O13" i="11"/>
  <c r="O12" i="11"/>
  <c r="O11" i="11"/>
  <c r="O10" i="11"/>
  <c r="O9" i="11"/>
  <c r="O7" i="11"/>
  <c r="O6" i="11"/>
  <c r="O5" i="11"/>
  <c r="O18" i="10"/>
  <c r="O17" i="10"/>
  <c r="O16" i="10"/>
  <c r="O15" i="10"/>
  <c r="O14" i="10"/>
  <c r="O13" i="10"/>
  <c r="O12" i="10"/>
  <c r="O11" i="10"/>
  <c r="O9" i="10"/>
  <c r="O8" i="10"/>
  <c r="O7" i="10"/>
  <c r="O6" i="10"/>
  <c r="O5" i="10"/>
  <c r="O18" i="9"/>
  <c r="O17" i="9"/>
  <c r="O16" i="9"/>
  <c r="O15" i="9"/>
  <c r="O14" i="9"/>
  <c r="O13" i="9"/>
  <c r="O12" i="9"/>
  <c r="O11" i="9"/>
  <c r="O10" i="9"/>
  <c r="O8" i="9"/>
  <c r="O7" i="9"/>
  <c r="O6" i="9"/>
  <c r="O5" i="9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O15" i="6"/>
  <c r="O10" i="6"/>
  <c r="O9" i="6"/>
  <c r="O8" i="6"/>
  <c r="O7" i="6"/>
  <c r="O6" i="6"/>
  <c r="O5" i="6"/>
  <c r="O4" i="6"/>
  <c r="O3" i="6"/>
  <c r="O2" i="6"/>
  <c r="O18" i="4"/>
  <c r="O13" i="4"/>
  <c r="O11" i="4"/>
  <c r="O10" i="4"/>
  <c r="O9" i="4"/>
  <c r="O8" i="4"/>
  <c r="O7" i="4"/>
  <c r="O6" i="4"/>
  <c r="O5" i="4"/>
  <c r="O4" i="4"/>
  <c r="O3" i="4"/>
  <c r="O2" i="4"/>
  <c r="O16" i="3"/>
  <c r="O11" i="3"/>
  <c r="O10" i="3"/>
  <c r="O9" i="3"/>
  <c r="O8" i="3"/>
  <c r="O7" i="3"/>
  <c r="O6" i="3"/>
  <c r="O5" i="3"/>
  <c r="O4" i="3"/>
  <c r="O3" i="3"/>
  <c r="O2" i="3"/>
  <c r="O21" i="2"/>
  <c r="O20" i="2"/>
  <c r="O19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U21" i="1"/>
  <c r="U20" i="1"/>
  <c r="U16" i="1"/>
  <c r="U15" i="1"/>
  <c r="U14" i="1"/>
  <c r="U13" i="1"/>
  <c r="U12" i="1"/>
  <c r="U11" i="1"/>
  <c r="U9" i="1"/>
  <c r="U8" i="1"/>
  <c r="U7" i="1"/>
  <c r="U6" i="1"/>
  <c r="U5" i="1"/>
  <c r="U4" i="1"/>
  <c r="U3" i="1"/>
  <c r="U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000-00003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ID#AAABSYiI7AY
    (2024-07-24 09:31:28)
Január 2-4, 11-12
	-Marti Csillag</t>
        </r>
      </text>
    </comment>
    <comment ref="D2" authorId="0" shapeId="0" xr:uid="{00000000-0006-0000-0000-00003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ID#AAABSYiI7BY
    (2024-07-24 09:31:28)
február 9, 12, 26
	-Marti Csillag</t>
        </r>
      </text>
    </comment>
    <comment ref="E2" authorId="0" shapeId="0" xr:uid="{00000000-0006-0000-0000-00000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ID#AAABSYiI7jk
    (2024-07-24 09:31:28)
Március 14
	-Marti Csillag</t>
        </r>
      </text>
    </comment>
    <comment ref="F2" authorId="0" shapeId="0" xr:uid="{00000000-0006-0000-0000-00001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ID#AAABSYiI7NI
    (2024-07-24 09:31:28)
Április 29-30.
	-Kitti Neumajer</t>
        </r>
      </text>
    </comment>
    <comment ref="G2" authorId="0" shapeId="0" xr:uid="{00000000-0006-0000-0000-00003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ID#AAABSYiI66s
    (2024-07-24 09:31:28)
Május 06
	-Marti Csillag</t>
        </r>
      </text>
    </comment>
    <comment ref="H2" authorId="0" shapeId="0" xr:uid="{00000000-0006-0000-0000-00000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ID#AAABSYiI7fU
    (2024-07-24 09:31:28)
Június 6-7
	-Kitti Neumajer</t>
        </r>
      </text>
    </comment>
    <comment ref="I2" authorId="0" shapeId="0" xr:uid="{00000000-0006-0000-0000-00000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ID#AAABSYiI7kI
Kitti Neumajer    (2024-07-24 09:33:42)
Július 10-11-12</t>
        </r>
      </text>
    </comment>
    <comment ref="C4" authorId="0" shapeId="0" xr:uid="{00000000-0006-0000-0000-00000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ID#AAABSYiI7iw
    (2024-07-24 09:31:28)
Január 2-5, 11-12
	-Marti Csillag</t>
        </r>
      </text>
    </comment>
    <comment ref="D4" authorId="0" shapeId="0" xr:uid="{00000000-0006-0000-0000-00002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ID#AAABSYiI7Ig
    (2024-07-24 09:31:28)
Február 12, 19
	-Marti Csillag</t>
        </r>
      </text>
    </comment>
    <comment ref="E4" authorId="0" shapeId="0" xr:uid="{00000000-0006-0000-0000-00002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ID#AAABSYiI7J4
    (2024-07-24 09:31:28)
Március 20-21
	-Marti Csillag</t>
        </r>
      </text>
    </comment>
    <comment ref="F4" authorId="0" shapeId="0" xr:uid="{00000000-0006-0000-0000-00003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ID#AAABSYiI62k
    (2024-07-24 09:31:28)
Április 2, 30
	-Kitti Neumajer</t>
        </r>
      </text>
    </comment>
    <comment ref="G4" authorId="0" shapeId="0" xr:uid="{00000000-0006-0000-0000-00000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ID#AAABSYiI7hg
    (2024-07-24 09:31:28)
Május 10, 13
	-Marti Csillag</t>
        </r>
      </text>
    </comment>
    <comment ref="H4" authorId="0" shapeId="0" xr:uid="{00000000-0006-0000-0000-00001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ID#AAABSYiI7Tk
    (2024-07-24 09:31:28)
Június 10
	-Kitti Neumajer</t>
        </r>
      </text>
    </comment>
    <comment ref="C5" authorId="0" shapeId="0" xr:uid="{00000000-0006-0000-0000-00003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ID#AAABSYiI65s
    (2024-07-24 09:31:28)
Január 2-4, 11-12
	-Marti Csillag</t>
        </r>
      </text>
    </comment>
    <comment ref="C6" authorId="0" shapeId="0" xr:uid="{00000000-0006-0000-0000-00002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ID#AAABSYiI7Ek
    (2024-07-24 09:31:28)
Január 2-4, 11-12
	-Marti Csillag</t>
        </r>
      </text>
    </comment>
    <comment ref="D6" authorId="0" shapeId="0" xr:uid="{00000000-0006-0000-0000-00002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ID#AAABSYiI7H0
    (2024-07-24 09:31:28)
Február 23
	-Marti Csillag</t>
        </r>
      </text>
    </comment>
    <comment ref="E6" authorId="0" shapeId="0" xr:uid="{00000000-0006-0000-0000-00002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ID#AAABSYiI7II
    (2024-07-24 09:31:28)
Március 26
	-Marti Csillag</t>
        </r>
      </text>
    </comment>
    <comment ref="F6" authorId="0" shapeId="0" xr:uid="{00000000-0006-0000-0000-00000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ID#AAABSYiI7js
    (2024-07-24 09:31:28)
Április 4-5, 26
	-Kitti Neumajer</t>
        </r>
      </text>
    </comment>
    <comment ref="G6" authorId="0" shapeId="0" xr:uid="{00000000-0006-0000-0000-00001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ID#AAABSYiI7TI
    (2024-07-24 09:31:28)
Május 3
	-Marti Csillag</t>
        </r>
      </text>
    </comment>
    <comment ref="H6" authorId="0" shapeId="0" xr:uid="{00000000-0006-0000-0000-00002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ID#AAABSYiI7G0
    (2024-07-24 09:31:28)
Június 7
	-Kitti Neumajer</t>
        </r>
      </text>
    </comment>
    <comment ref="C7" authorId="0" shapeId="0" xr:uid="{00000000-0006-0000-0000-00003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ID#AAABSYiI68Y
    (2024-07-24 09:31:28)
Január 2-10
	-Marti Csillag</t>
        </r>
      </text>
    </comment>
    <comment ref="D7" authorId="0" shapeId="0" xr:uid="{00000000-0006-0000-0000-00003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ID#AAABSYiI6-U
    (2024-07-24 09:31:28)
Február 5-6
	-Marti Csillag</t>
        </r>
      </text>
    </comment>
    <comment ref="C8" authorId="0" shapeId="0" xr:uid="{00000000-0006-0000-0000-00003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ID#AAABSYiI6zY
    (2024-07-24 09:31:28)
Január 2-4, 11-12
	-Marti Csillag</t>
        </r>
      </text>
    </comment>
    <comment ref="D8" authorId="0" shapeId="0" xr:uid="{00000000-0006-0000-0000-00000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ID#AAABSYiI7jQ
    (2024-07-24 09:31:28)
Február 13, 29
	-Marti Csillag</t>
        </r>
      </text>
    </comment>
    <comment ref="E8" authorId="0" shapeId="0" xr:uid="{00000000-0006-0000-0000-00001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ID#AAABSYiI7Vk
    (2024-07-24 09:31:28)
Március 4
	-Marti Csillag</t>
        </r>
      </text>
    </comment>
    <comment ref="F8" authorId="0" shapeId="0" xr:uid="{00000000-0006-0000-0000-00001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ID#AAABSYiI7Qw
    (2024-07-24 09:31:28)
Április 10
	-Kitti Neumajer</t>
        </r>
      </text>
    </comment>
    <comment ref="G8" authorId="0" shapeId="0" xr:uid="{00000000-0006-0000-0000-00002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ID#AAABSYiI7Gk
    (2024-07-24 09:31:28)
Május 06-07
	-Marti Csillag</t>
        </r>
      </text>
    </comment>
    <comment ref="H8" authorId="0" shapeId="0" xr:uid="{00000000-0006-0000-0000-00001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ID#AAABSYiI7Vc
    (2024-07-24 09:31:28)
Június 27-28
	-Kitti Neumajer</t>
        </r>
      </text>
    </comment>
    <comment ref="C9" authorId="0" shapeId="0" xr:uid="{00000000-0006-0000-0000-00000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ID#AAABSYiI7do
    (2024-07-24 09:31:28)
Január 2-4, 11-12
	-Marti Csillag</t>
        </r>
      </text>
    </comment>
    <comment ref="D9" authorId="0" shapeId="0" xr:uid="{00000000-0006-0000-0000-00003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ID#AAABSYiI7CI
    (2024-07-24 09:31:28)
Február 23
	-Marti Csillag</t>
        </r>
      </text>
    </comment>
    <comment ref="G9" authorId="0" shapeId="0" xr:uid="{00000000-0006-0000-0000-00002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ID#AAABSYiI7I4
    (2024-07-24 09:31:28)
Május 06
	-Marti Csillag</t>
        </r>
      </text>
    </comment>
    <comment ref="H9" authorId="0" shapeId="0" xr:uid="{00000000-0006-0000-0000-00000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ID#AAABSYiI7a0
    (2024-07-24 09:31:28)
Június 25
	-Kitti Neumajer</t>
        </r>
      </text>
    </comment>
    <comment ref="C11" authorId="0" shapeId="0" xr:uid="{00000000-0006-0000-0000-00002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ID#AAABSYiI7Kk
    (2024-07-24 09:31:28)
Január 2-5, 11-12
	-Marti Csillag</t>
        </r>
      </text>
    </comment>
    <comment ref="D11" authorId="0" shapeId="0" xr:uid="{00000000-0006-0000-0000-00003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ID#AAABSYiI6_A
    (2024-07-24 09:31:28)
Február 9,12
	-Marti Csillag</t>
        </r>
      </text>
    </comment>
    <comment ref="E11" authorId="0" shapeId="0" xr:uid="{00000000-0006-0000-0000-00001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ID#AAABSYiI7OY
    (2024-07-24 09:31:28)
Március 14
	-Marti Csillag</t>
        </r>
      </text>
    </comment>
    <comment ref="F11" authorId="0" shapeId="0" xr:uid="{00000000-0006-0000-0000-00003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ID#AAABSYiI69s
    (2024-07-24 09:31:28)
Április 25, 29
	-Kitti Neumajer</t>
        </r>
      </text>
    </comment>
    <comment ref="G11" authorId="0" shapeId="0" xr:uid="{00000000-0006-0000-0000-00000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ID#AAABSYiI7bA
    (2024-07-24 09:31:28)
Május 16-17
	-Marti Csillag</t>
        </r>
      </text>
    </comment>
    <comment ref="H11" authorId="0" shapeId="0" xr:uid="{00000000-0006-0000-0000-00002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ID#AAABSYiI7Hc
    (2024-07-24 09:31:28)
Június 20-21
	-Kitti Neumajer</t>
        </r>
      </text>
    </comment>
    <comment ref="C12" authorId="0" shapeId="0" xr:uid="{00000000-0006-0000-0000-00000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ID#AAABSYiI7d4
    (2024-07-24 09:31:28)
Január 2-4, 11-12
	-Marti Csillag</t>
        </r>
      </text>
    </comment>
    <comment ref="G12" authorId="0" shapeId="0" xr:uid="{00000000-0006-0000-0000-00001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ID#AAABSYiI7Oo
    (2024-07-24 09:31:28)
05.29
	-Marti Csillag</t>
        </r>
      </text>
    </comment>
    <comment ref="H12" authorId="0" shapeId="0" xr:uid="{00000000-0006-0000-0000-00002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ID#AAABSYiI7G8
    (2024-07-24 09:31:28)
Június 17
	-Kitti Neumajer</t>
        </r>
      </text>
    </comment>
    <comment ref="C14" authorId="0" shapeId="0" xr:uid="{00000000-0006-0000-0000-00002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ID#AAABSYiI7Kc
    (2024-07-24 09:31:28)
Január 2-8, 25
	-Marti Csillag</t>
        </r>
      </text>
    </comment>
    <comment ref="D14" authorId="0" shapeId="0" xr:uid="{00000000-0006-0000-0000-00001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ID#AAABSYiI7Vg
    (2024-07-24 09:31:28)
Február 20
	-Marti Csillag</t>
        </r>
      </text>
    </comment>
    <comment ref="F14" authorId="0" shapeId="0" xr:uid="{00000000-0006-0000-0000-00001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ID#AAABSYiI7ao
    (2024-07-24 09:31:28)
Április 9
	-Kitti Neumajer</t>
        </r>
      </text>
    </comment>
    <comment ref="G14" authorId="0" shapeId="0" xr:uid="{00000000-0006-0000-0000-00000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ID#AAABSYiI7hE
    (2024-07-24 09:31:28)
Májusb 13
	-Marti Csillag</t>
        </r>
      </text>
    </comment>
    <comment ref="H14" authorId="0" shapeId="0" xr:uid="{00000000-0006-0000-0000-00002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ID#AAABSYiI7EA
    (2024-07-24 09:31:28)
Június 24
	-Kitti Neumajer</t>
        </r>
      </text>
    </comment>
    <comment ref="I14" authorId="0" shapeId="0" xr:uid="{00000000-0006-0000-0000-00000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ID#AAABSYiI7kU
Kitti Neumajer    (2024-07-24 09:37:52)
Július 12, 30</t>
        </r>
      </text>
    </comment>
    <comment ref="C15" authorId="0" shapeId="0" xr:uid="{00000000-0006-0000-0000-00003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ID#AAABSYiI7Ao
    (2024-07-24 09:31:28)
Január 2-4, 11-12, 26
	-Marti Csillag</t>
        </r>
      </text>
    </comment>
    <comment ref="D15" authorId="0" shapeId="0" xr:uid="{00000000-0006-0000-0000-00002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ID#AAABSYiI7IQ
    (2024-07-24 09:31:28)
Február 23
	-Marti Csillag</t>
        </r>
      </text>
    </comment>
    <comment ref="H15" authorId="0" shapeId="0" xr:uid="{00000000-0006-0000-0000-00001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ID#AAABSYiI7LY
    (2024-07-24 09:31:28)
Június 7
	-Kitti Neumajer</t>
        </r>
      </text>
    </comment>
    <comment ref="C20" authorId="0" shapeId="0" xr:uid="{00000000-0006-0000-0000-00001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ID#AAABSYiI7Ns
    (2024-07-24 09:31:28)
Január 2-4, 11-12
	-Marti Csillag</t>
        </r>
      </text>
    </comment>
    <comment ref="D20" authorId="0" shapeId="0" xr:uid="{00000000-0006-0000-0000-00001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ID#AAABSYiI7PM
    (2024-07-24 09:31:28)
Február 23
	-Marti Csillag</t>
        </r>
      </text>
    </comment>
    <comment ref="E20" authorId="0" shapeId="0" xr:uid="{00000000-0006-0000-0000-00003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ID#AAABSYiI64E
    (2024-07-24 09:31:28)
Március 26
	-Marti Csillag</t>
        </r>
      </text>
    </comment>
    <comment ref="F20" authorId="0" shapeId="0" xr:uid="{00000000-0006-0000-0000-00003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ID#AAABSYiI6_I
    (2024-07-24 09:31:28)
Április 4-5, 26
	-Kitti Neumajer</t>
        </r>
      </text>
    </comment>
    <comment ref="G20" authorId="0" shapeId="0" xr:uid="{00000000-0006-0000-0000-00000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ID#AAABSYiI7eU
    (2024-07-24 09:31:28)
Május 3
	-Marti Csillag</t>
        </r>
      </text>
    </comment>
    <comment ref="H20" authorId="0" shapeId="0" xr:uid="{00000000-0006-0000-0000-00001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ID#AAABSYiI7ag
    (2024-07-24 09:31:28)
Június 7
	-Kitti Neumajer</t>
        </r>
      </text>
    </comment>
    <comment ref="C21" authorId="0" shapeId="0" xr:uid="{00000000-0006-0000-0000-00001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ID#AAABSYiI7OE
    (2024-07-24 09:31:28)
Január 2-4, 11-12
	-Marti Csillag</t>
        </r>
      </text>
    </comment>
    <comment ref="D21" authorId="0" shapeId="0" xr:uid="{00000000-0006-0000-0000-00002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ID#AAABSYiI7Iw
    (2024-07-24 09:31:28)
február 9, 12, 26
	-Marti Csillag</t>
        </r>
      </text>
    </comment>
    <comment ref="E21" authorId="0" shapeId="0" xr:uid="{00000000-0006-0000-0000-00002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ID#AAABSYiI7FA
    (2024-07-24 09:31:28)
Március 14
	-Marti Csillag</t>
        </r>
      </text>
    </comment>
    <comment ref="F21" authorId="0" shapeId="0" xr:uid="{00000000-0006-0000-0000-00001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ID#AAABSYiI7Uc
    (2024-07-24 09:31:28)
Április 29-30
	-Kitti Neumajer</t>
        </r>
      </text>
    </comment>
    <comment ref="I21" authorId="0" shapeId="0" xr:uid="{00000000-0006-0000-0000-00000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ID#AAABSYiI7kM
Kitti Neumajer    (2024-07-24 09:34:47)
Július 10-11-12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CCBCo7PXI3NDM9vRNpWcfTC/kq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5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ID#AAABSYiI7Ik
    (2024-07-24 09:31:28)
Január 2-6, 20, 23
	-Marti Csillag</t>
        </r>
      </text>
    </comment>
    <comment ref="D2" authorId="0" shapeId="0" xr:uid="{00000000-0006-0000-0100-00008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ID#AAABSYiI608
    (2024-07-24 09:31:28)
Február 3,8,13-14,24
	-Marti Csillag</t>
        </r>
      </text>
    </comment>
    <comment ref="F2" authorId="0" shapeId="0" xr:uid="{00000000-0006-0000-0100-00001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ID#AAABSYiI7cA
    (2024-07-24 09:31:28)
04.05
	-Marti Csillag</t>
        </r>
      </text>
    </comment>
    <comment ref="G2" authorId="0" shapeId="0" xr:uid="{00000000-0006-0000-0100-00004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ID#AAABSYiI7Jg
    (2024-07-24 09:31:28)
Május 02, 23
	-Marti Csillag</t>
        </r>
      </text>
    </comment>
    <comment ref="H2" authorId="0" shapeId="0" xr:uid="{00000000-0006-0000-0100-00004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ID#AAABSYiI7J0
    (2024-07-24 09:31:28)
Június 12.,26.
	-Marti Csillag</t>
        </r>
      </text>
    </comment>
    <comment ref="I2" authorId="0" shapeId="0" xr:uid="{00000000-0006-0000-0100-00004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ID#AAABSYiI7Ms
    (2024-07-24 09:31:28)
07.18-20
	-Marti Csillag</t>
        </r>
      </text>
    </comment>
    <comment ref="J2" authorId="0" shapeId="0" xr:uid="{00000000-0006-0000-0100-00004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ID#AAABSYiI7Mc
    (2024-07-24 09:31:28)
08.10-14.
	-Lenovo</t>
        </r>
      </text>
    </comment>
    <comment ref="K2" authorId="0" shapeId="0" xr:uid="{00000000-0006-0000-0100-00002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ID#AAABSYiI7ZA
    (2024-07-24 09:31:28)
Szeptember 25-26
	-Marti Csillag</t>
        </r>
      </text>
    </comment>
    <comment ref="L2" authorId="0" shapeId="0" xr:uid="{00000000-0006-0000-0100-00005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ID#AAABSYiI7Es
    (2024-07-24 09:31:28)
Október 6,13
	-Marti Csillag</t>
        </r>
      </text>
    </comment>
    <comment ref="M2" authorId="0" shapeId="0" xr:uid="{00000000-0006-0000-0100-00000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ID#AAABSYiI7fI
    (2024-07-24 09:31:28)
November 2,20
	-Marti Csillag</t>
        </r>
      </text>
    </comment>
    <comment ref="N2" authorId="0" shapeId="0" xr:uid="{00000000-0006-0000-0100-00008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ID#AAABSYiI63E
    (2024-07-24 09:31:28)
December 21-22, 27-28-29
	-Marti Csillag</t>
        </r>
      </text>
    </comment>
    <comment ref="C3" authorId="0" shapeId="0" xr:uid="{00000000-0006-0000-0100-00003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ID#AAABSYiI7Po
    (2024-07-24 09:31:28)
Január 2-6, 13, 20
	-Marti Csillag</t>
        </r>
      </text>
    </comment>
    <comment ref="D3" authorId="0" shapeId="0" xr:uid="{00000000-0006-0000-0100-00008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ID#AAABSYiI610
    (2024-07-24 09:31:28)
23-24
	-Marti Csillag</t>
        </r>
      </text>
    </comment>
    <comment ref="E3" authorId="0" shapeId="0" xr:uid="{00000000-0006-0000-0100-00007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ID#AAABSYiI66E
    (2024-07-24 09:31:28)
Március 28-29
	-Marti Csillag</t>
        </r>
      </text>
    </comment>
    <comment ref="F3" authorId="0" shapeId="0" xr:uid="{00000000-0006-0000-0100-00001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ID#AAABSYiI7eo
    (2024-07-24 09:31:28)
04.05-06
	-Marti Csillag</t>
        </r>
      </text>
    </comment>
    <comment ref="G3" authorId="0" shapeId="0" xr:uid="{00000000-0006-0000-0100-00000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ID#AAABSYiI7fs
    (2024-07-24 09:31:28)
Május 02, 23
	-Marti Csillag</t>
        </r>
      </text>
    </comment>
    <comment ref="H3" authorId="0" shapeId="0" xr:uid="{00000000-0006-0000-0100-00000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ID#AAABSYiI7h4
    (2024-07-24 09:31:28)
Június 12.,26.
	-Marti Csillag</t>
        </r>
      </text>
    </comment>
    <comment ref="D4" authorId="0" shapeId="0" xr:uid="{00000000-0006-0000-0100-00001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ID#AAABSYiI7fY
    (2024-07-24 09:31:28)
23-24
	-Marti Csillag</t>
        </r>
      </text>
    </comment>
    <comment ref="G4" authorId="0" shapeId="0" xr:uid="{00000000-0006-0000-0100-00008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ID#AAABSYiI63w
    (2024-07-24 09:31:28)
Május 23
	-Marti Csillag</t>
        </r>
      </text>
    </comment>
    <comment ref="H4" authorId="0" shapeId="0" xr:uid="{00000000-0006-0000-0100-00005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ID#AAABSYiI7EQ
    (2024-07-24 09:31:28)
Június 15.,27.
	-Marti Csillag</t>
        </r>
      </text>
    </comment>
    <comment ref="I4" authorId="0" shapeId="0" xr:uid="{00000000-0006-0000-0100-00006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ID#AAABSYiI7CA
    (2024-07-24 09:31:28)
07.13, 26-27.
	-Marti Csillag</t>
        </r>
      </text>
    </comment>
    <comment ref="C5" authorId="0" shapeId="0" xr:uid="{00000000-0006-0000-0100-00006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ID#AAABSYiI7A8
    (2024-07-24 09:31:28)
Január 2-6
	-Marti Csillag</t>
        </r>
      </text>
    </comment>
    <comment ref="D5" authorId="0" shapeId="0" xr:uid="{00000000-0006-0000-0100-00006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ID#AAABSYiI7Ag
    (2024-07-24 09:31:28)
3, 6-7, 23-24
	-Marti Csillag</t>
        </r>
      </text>
    </comment>
    <comment ref="E5" authorId="0" shapeId="0" xr:uid="{00000000-0006-0000-0100-00005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ID#AAABSYiI7Ew
    (2024-07-24 09:31:28)
Március 13-14.
	-Marti Csillag</t>
        </r>
      </text>
    </comment>
    <comment ref="F5" authorId="0" shapeId="0" xr:uid="{00000000-0006-0000-0100-00007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ID#AAABSYiI69Y
    (2024-07-24 09:31:28)
04.17-18
	-Marti Csillag</t>
        </r>
      </text>
    </comment>
    <comment ref="G5" authorId="0" shapeId="0" xr:uid="{00000000-0006-0000-0100-00002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ID#AAABSYiI7V4
    (2024-07-24 09:31:28)
Május 10
	-Marti Csillag</t>
        </r>
      </text>
    </comment>
    <comment ref="H5" authorId="0" shapeId="0" xr:uid="{00000000-0006-0000-0100-00004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ID#AAABSYiI7NM
    (2024-07-24 09:31:28)
Június 15-16
	-Marti Csillag</t>
        </r>
      </text>
    </comment>
    <comment ref="I5" authorId="0" shapeId="0" xr:uid="{00000000-0006-0000-0100-00007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ID#AAABSYiI644
    (2024-07-24 09:31:28)
07.03-05.
	-Marti Csillag</t>
        </r>
      </text>
    </comment>
    <comment ref="J5" authorId="0" shapeId="0" xr:uid="{00000000-0006-0000-0100-00008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ID#AAABSYiI64U
    (2024-07-24 09:31:28)
08.11.
	-Lenovo</t>
        </r>
      </text>
    </comment>
    <comment ref="K5" authorId="0" shapeId="0" xr:uid="{00000000-0006-0000-0100-00009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ID#AAABSYiI6yk
    (2024-07-24 09:31:28)
Szeptember 25-26
	-Marti Csillag</t>
        </r>
      </text>
    </comment>
    <comment ref="L5" authorId="0" shapeId="0" xr:uid="{00000000-0006-0000-0100-00004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ID#AAABSYiI7NY
    (2024-07-24 09:31:28)
Október 19-20
	-Marti Csillag</t>
        </r>
      </text>
    </comment>
    <comment ref="M5" authorId="0" shapeId="0" xr:uid="{00000000-0006-0000-0100-00008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ID#AAABSYiI61E
    (2024-07-24 09:31:28)
November 27
	-Marti Csillag</t>
        </r>
      </text>
    </comment>
    <comment ref="N5" authorId="0" shapeId="0" xr:uid="{00000000-0006-0000-0100-00003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ID#AAABSYiI7O0
    (2024-07-24 09:31:28)
December 22,27-28-29
	-Marti Csillag</t>
        </r>
      </text>
    </comment>
    <comment ref="G6" authorId="0" shapeId="0" xr:uid="{00000000-0006-0000-0100-00002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ID#AAABSYiI7W4
    (2024-07-24 09:31:28)
05.09-15
	-Marti Csillag</t>
        </r>
      </text>
    </comment>
    <comment ref="H6" authorId="0" shapeId="0" xr:uid="{00000000-0006-0000-0100-00000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ID#AAABSYiI7fo
    (2024-07-24 09:31:28)
Június 29-30
	-Marti Csillag</t>
        </r>
      </text>
    </comment>
    <comment ref="I6" authorId="0" shapeId="0" xr:uid="{00000000-0006-0000-0100-00007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ID#AAABSYiI69g
    (2024-07-24 09:31:28)
07.03-06
	-Marti Csillag</t>
        </r>
      </text>
    </comment>
    <comment ref="K6" authorId="0" shapeId="0" xr:uid="{00000000-0006-0000-0100-00002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ID#AAABSYiI7Yc
    (2024-07-24 09:31:28)
Szeptember 27
	-Marti Csillag</t>
        </r>
      </text>
    </comment>
    <comment ref="L6" authorId="0" shapeId="0" xr:uid="{00000000-0006-0000-0100-00000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ID#AAABSYiI7fk
    (2024-07-24 09:31:28)
Október 12-13
	-Marti Csillag</t>
        </r>
      </text>
    </comment>
    <comment ref="N6" authorId="0" shapeId="0" xr:uid="{00000000-0006-0000-0100-00003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ID#AAABSYiI7Tc
    (2024-07-24 09:31:28)
December 27-28-29
	-Marti Csillag</t>
        </r>
      </text>
    </comment>
    <comment ref="C7" authorId="0" shapeId="0" xr:uid="{00000000-0006-0000-0100-00009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ID#AAABSYiI60A
    (2024-07-24 09:31:28)
Január 2-6
	-Marti Csillag</t>
        </r>
      </text>
    </comment>
    <comment ref="D7" authorId="0" shapeId="0" xr:uid="{00000000-0006-0000-0100-00001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ID#AAABSYiI7dY
    (2024-07-24 09:31:28)
22-24
	-Marti Csillag</t>
        </r>
      </text>
    </comment>
    <comment ref="F7" authorId="0" shapeId="0" xr:uid="{00000000-0006-0000-0100-00002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ID#AAABSYiI7Zg
    (2024-07-24 09:31:28)
04.24-25
	-Marti Csillag</t>
        </r>
      </text>
    </comment>
    <comment ref="H7" authorId="0" shapeId="0" xr:uid="{00000000-0006-0000-0100-00007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ID#AAABSYiI66U
    (2024-07-24 09:31:28)
Június 2,19.
	-Marti Csillag</t>
        </r>
      </text>
    </comment>
    <comment ref="I7" authorId="0" shapeId="0" xr:uid="{00000000-0006-0000-0100-00003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ID#AAABSYiI7P8
    (2024-07-24 09:31:28)
21-28
	-Marti Csillag</t>
        </r>
      </text>
    </comment>
    <comment ref="J7" authorId="0" shapeId="0" xr:uid="{00000000-0006-0000-0100-00007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ID#AAABSYiI67o
    (2024-07-24 09:31:28)
08.14
	-Lenovo</t>
        </r>
      </text>
    </comment>
    <comment ref="K7" authorId="0" shapeId="0" xr:uid="{00000000-0006-0000-0100-00007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ID#AAABSYiI66k
    (2024-07-24 09:31:28)
Szeptember 22
	-Marti Csillag</t>
        </r>
      </text>
    </comment>
    <comment ref="L7" authorId="0" shapeId="0" xr:uid="{00000000-0006-0000-0100-00009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ID#AAABSYiI6z4
    (2024-07-24 09:31:28)
Október 13,20
	-Marti Csillag</t>
        </r>
      </text>
    </comment>
    <comment ref="M7" authorId="0" shapeId="0" xr:uid="{00000000-0006-0000-0100-00000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ID#AAABSYiI7hA
    (2024-07-24 09:31:28)
November 2-3-6
	-Marti Csillag</t>
        </r>
      </text>
    </comment>
    <comment ref="N7" authorId="0" shapeId="0" xr:uid="{00000000-0006-0000-0100-00002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ID#AAABSYiI7Yo
    (2024-07-24 09:31:28)
December 19-20-21-22, 27-28-29
	-Marti Csillag</t>
        </r>
      </text>
    </comment>
    <comment ref="C8" authorId="0" shapeId="0" xr:uid="{00000000-0006-0000-0100-00006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ID#AAABSYiI7Ak
    (2024-07-24 09:31:28)
Január 2-6
	-Marti Csillag</t>
        </r>
      </text>
    </comment>
    <comment ref="D8" authorId="0" shapeId="0" xr:uid="{00000000-0006-0000-0100-00006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ID#AAABSYiI7DQ
    (2024-07-24 09:31:28)
20-23
	-Marti Csillag</t>
        </r>
      </text>
    </comment>
    <comment ref="E8" authorId="0" shapeId="0" xr:uid="{00000000-0006-0000-0100-00008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ID#AAABSYiI604
    (2024-07-24 09:31:28)
Március 10
	-Marti Csillag</t>
        </r>
      </text>
    </comment>
    <comment ref="F8" authorId="0" shapeId="0" xr:uid="{00000000-0006-0000-0100-00000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ID#AAABSYiI7gM
    (2024-07-24 09:31:28)
04.05-06
	-Marti Csillag</t>
        </r>
      </text>
    </comment>
    <comment ref="G8" authorId="0" shapeId="0" xr:uid="{00000000-0006-0000-0100-00004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ID#AAABSYiI7Jw
    (2024-07-24 09:31:28)
Május 15-16
	-Marti Csillag</t>
        </r>
      </text>
    </comment>
    <comment ref="H8" authorId="0" shapeId="0" xr:uid="{00000000-0006-0000-0100-00007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ID#AAABSYiI6-s
    (2024-07-24 09:31:28)
Június 9., 15-16.
	-Marti Csillag</t>
        </r>
      </text>
    </comment>
    <comment ref="I8" authorId="0" shapeId="0" xr:uid="{00000000-0006-0000-0100-00001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ID#AAABSYiI7b4
    (2024-07-24 09:31:28)
07.19-21
	-Marti Csillag</t>
        </r>
      </text>
    </comment>
    <comment ref="J8" authorId="0" shapeId="0" xr:uid="{00000000-0006-0000-0100-00006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ID#AAABSYiI7Do
    (2024-07-24 09:31:28)
08.28
	-Lenovo</t>
        </r>
      </text>
    </comment>
    <comment ref="K8" authorId="0" shapeId="0" xr:uid="{00000000-0006-0000-0100-00005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ID#AAABSYiI7EM
    (2024-07-24 09:31:28)
Szeptember 26
	-Marti Csillag</t>
        </r>
      </text>
    </comment>
    <comment ref="L8" authorId="0" shapeId="0" xr:uid="{00000000-0006-0000-0100-00000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ID#AAABSYiI7hI
    (2024-07-24 09:31:28)
Október 20,24
	-Marti Csillag</t>
        </r>
      </text>
    </comment>
    <comment ref="M8" authorId="0" shapeId="0" xr:uid="{00000000-0006-0000-0100-00003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ID#AAABSYiI7QU
    (2024-07-24 09:31:28)
November 27-28-29
	-Marti Csillag</t>
        </r>
      </text>
    </comment>
    <comment ref="N8" authorId="0" shapeId="0" xr:uid="{00000000-0006-0000-0100-00006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ID#AAABSYiI7Cc
    (2024-07-24 09:31:28)
December 20-21-22, 27-28-29
	-Marti Csillag</t>
        </r>
      </text>
    </comment>
    <comment ref="C9" authorId="0" shapeId="0" xr:uid="{00000000-0006-0000-0100-00008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ID#AAABSYiI61I
    (2024-07-24 09:31:28)
Január 2-6
	-Marti Csillag</t>
        </r>
      </text>
    </comment>
    <comment ref="D9" authorId="0" shapeId="0" xr:uid="{00000000-0006-0000-0100-00002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ID#AAABSYiI7Zo
    (2024-07-24 09:31:28)
14,23
	-Marti Csillag</t>
        </r>
      </text>
    </comment>
    <comment ref="E9" authorId="0" shapeId="0" xr:uid="{00000000-0006-0000-0100-00006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ID#AAABSYiI7Cw
    (2024-07-24 09:31:28)
Március 10
	-Marti Csillag</t>
        </r>
      </text>
    </comment>
    <comment ref="F9" authorId="0" shapeId="0" xr:uid="{00000000-0006-0000-0100-00007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ID#AAABSYiI69k
    (2024-07-24 09:31:28)
04.24
	-Marti Csillag</t>
        </r>
      </text>
    </comment>
    <comment ref="G9" authorId="0" shapeId="0" xr:uid="{00000000-0006-0000-0100-00000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ID#AAABSYiI7fM
    (2024-07-24 09:31:28)
Május 2.
	-Marti Csillag</t>
        </r>
      </text>
    </comment>
    <comment ref="H9" authorId="0" shapeId="0" xr:uid="{00000000-0006-0000-0100-00002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ID#AAABSYiI7Z4
    (2024-07-24 09:31:28)
Június 15.,27.
	-Marti Csillag</t>
        </r>
      </text>
    </comment>
    <comment ref="I9" authorId="0" shapeId="0" xr:uid="{00000000-0006-0000-0100-00000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ID#AAABSYiI7iE
    (2024-07-24 09:31:28)
07.10-14, 28.
	-Marti Csillag</t>
        </r>
      </text>
    </comment>
    <comment ref="K9" authorId="0" shapeId="0" xr:uid="{00000000-0006-0000-0100-00008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ID#AAABSYiI62w
    (2024-07-24 09:31:28)
Szeptember 25-27
	-Marti Csillag</t>
        </r>
      </text>
    </comment>
    <comment ref="L9" authorId="0" shapeId="0" xr:uid="{00000000-0006-0000-0100-00008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ID#AAABSYiI61c
    (2024-07-24 09:31:28)
Október 27,30
	-Marti Csillag</t>
        </r>
      </text>
    </comment>
    <comment ref="M9" authorId="0" shapeId="0" xr:uid="{00000000-0006-0000-0100-00005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ID#AAABSYiI7Io
    (2024-07-24 09:31:28)
November 23-24
	-Marti Csillag</t>
        </r>
      </text>
    </comment>
    <comment ref="N9" authorId="0" shapeId="0" xr:uid="{00000000-0006-0000-0100-00007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ID#AAABSYiI6_M
    (2024-07-24 09:31:28)
December 20-21-22, 27-28-29
	-Marti Csillag</t>
        </r>
      </text>
    </comment>
    <comment ref="C10" authorId="0" shapeId="0" xr:uid="{00000000-0006-0000-0100-00004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ID#AAABSYiI7Mk
    (2024-07-24 09:31:28)
Január 2-6
	-Marti Csillag</t>
        </r>
      </text>
    </comment>
    <comment ref="D10" authorId="0" shapeId="0" xr:uid="{00000000-0006-0000-0100-00003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ID#AAABSYiI7QA
    (2024-07-24 09:31:28)
23-24
	-Marti Csillag</t>
        </r>
      </text>
    </comment>
    <comment ref="E10" authorId="0" shapeId="0" xr:uid="{00000000-0006-0000-0100-00002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ID#AAABSYiI7Zc
    (2024-07-24 09:31:28)
Március 10
	-Marti Csillag</t>
        </r>
      </text>
    </comment>
    <comment ref="F10" authorId="0" shapeId="0" xr:uid="{00000000-0006-0000-0100-00008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ID#AAABSYiI61w
    (2024-07-24 09:31:28)
04.03
	-Marti Csillag</t>
        </r>
      </text>
    </comment>
    <comment ref="G10" authorId="0" shapeId="0" xr:uid="{00000000-0006-0000-0100-00006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ID#AAABSYiI7A0
    (2024-07-24 09:31:28)
Május 5.
	-Marti Csillag</t>
        </r>
      </text>
    </comment>
    <comment ref="H10" authorId="0" shapeId="0" xr:uid="{00000000-0006-0000-0100-00005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ID#AAABSYiI7GA
    (2024-07-24 09:31:28)
Június 15.,27.
	-Marti Csillag</t>
        </r>
      </text>
    </comment>
    <comment ref="I10" authorId="0" shapeId="0" xr:uid="{00000000-0006-0000-0100-00000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ID#AAABSYiI7g8
    (2024-07-24 09:31:28)
07.13-14, 28.
	-Marti Csillag</t>
        </r>
      </text>
    </comment>
    <comment ref="J10" authorId="0" shapeId="0" xr:uid="{00000000-0006-0000-0100-00001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ID#AAABSYiI7ak
    (2024-07-24 09:31:28)
08.10-14
	-Lenovo</t>
        </r>
      </text>
    </comment>
    <comment ref="K10" authorId="0" shapeId="0" xr:uid="{00000000-0006-0000-0100-00009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ID#AAABSYiI60w
    (2024-07-24 09:31:28)
Szeptember 25,27
	-Marti Csillag</t>
        </r>
      </text>
    </comment>
    <comment ref="L10" authorId="0" shapeId="0" xr:uid="{00000000-0006-0000-0100-00003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ID#AAABSYiI7Pg
    (2024-07-24 09:31:28)
Október 27,30
	-Marti Csillag</t>
        </r>
      </text>
    </comment>
    <comment ref="M10" authorId="0" shapeId="0" xr:uid="{00000000-0006-0000-0100-00004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ID#AAABSYiI7Mw
    (2024-07-24 09:31:28)
November 9-10, 23,26
	-Marti Csillag</t>
        </r>
      </text>
    </comment>
    <comment ref="N10" authorId="0" shapeId="0" xr:uid="{00000000-0006-0000-0100-00003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ID#AAABSYiI7Ps
    (2024-07-24 09:31:28)
December 20-21-22, 27-28-29
	-Marti Csillag</t>
        </r>
      </text>
    </comment>
    <comment ref="G11" authorId="0" shapeId="0" xr:uid="{00000000-0006-0000-0100-00002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ID#AAABSYiI7Ys
    (2024-07-24 09:31:28)
Május 2-5
	-Marti Csillag</t>
        </r>
      </text>
    </comment>
    <comment ref="H11" authorId="0" shapeId="0" xr:uid="{00000000-0006-0000-0100-00008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ID#AAABSYiI62M
    (2024-07-24 09:31:28)
Június 9., 29.
	-Marti Csillag</t>
        </r>
      </text>
    </comment>
    <comment ref="I11" authorId="0" shapeId="0" xr:uid="{00000000-0006-0000-0100-00005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ID#AAABSYiI7EY
    (2024-07-24 09:31:28)
07.27-31
	-Marti Csillag</t>
        </r>
      </text>
    </comment>
    <comment ref="J11" authorId="0" shapeId="0" xr:uid="{00000000-0006-0000-0100-00006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ID#AAABSYiI7Bc
    (2024-07-24 09:31:28)
08.29
	-Lenovo</t>
        </r>
      </text>
    </comment>
    <comment ref="K11" authorId="0" shapeId="0" xr:uid="{00000000-0006-0000-0100-00001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ID#AAABSYiI7e4
    (2024-07-24 09:31:28)
Szeptember 25,28
	-Marti Csillag</t>
        </r>
      </text>
    </comment>
    <comment ref="L11" authorId="0" shapeId="0" xr:uid="{00000000-0006-0000-0100-00006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ID#AAABSYiI7DY
    (2024-07-24 09:31:28)
Október 24-25
	-Marti Csillag</t>
        </r>
      </text>
    </comment>
    <comment ref="M11" authorId="0" shapeId="0" xr:uid="{00000000-0006-0000-0100-00003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ID#AAABSYiI7PA
    (2024-07-24 09:31:28)
November 15-16-17
	-Marti Csillag</t>
        </r>
      </text>
    </comment>
    <comment ref="N11" authorId="0" shapeId="0" xr:uid="{00000000-0006-0000-0100-00001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ID#AAABSYiI7aw
    (2024-07-24 09:31:28)
December 20-21-22, 27-28-29
	-Marti Csillag</t>
        </r>
      </text>
    </comment>
    <comment ref="D12" authorId="0" shapeId="0" xr:uid="{00000000-0006-0000-0100-00007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ID#AAABSYiI69Q
    (2024-07-24 09:31:28)
6,24
	-Marti Csillag</t>
        </r>
      </text>
    </comment>
    <comment ref="E12" authorId="0" shapeId="0" xr:uid="{00000000-0006-0000-0100-00003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ID#AAABSYiI7UU
    (2024-07-24 09:31:28)
Március 16-17
	-Marti Csillag</t>
        </r>
      </text>
    </comment>
    <comment ref="G12" authorId="0" shapeId="0" xr:uid="{00000000-0006-0000-0100-00001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ID#AAABSYiI7eY
    (2024-07-24 09:31:28)
Május 22
	-Marti Csillag</t>
        </r>
      </text>
    </comment>
    <comment ref="H12" authorId="0" shapeId="0" xr:uid="{00000000-0006-0000-0100-00008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ID#AAABSYiI64w
    (2024-07-24 09:31:28)
Június 29.
	-Marti Csillag</t>
        </r>
      </text>
    </comment>
    <comment ref="I12" authorId="0" shapeId="0" xr:uid="{00000000-0006-0000-0100-00001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ID#AAABSYiI7bs
    (2024-07-24 09:31:28)
07.24-28
	-Marti Csillag</t>
        </r>
      </text>
    </comment>
    <comment ref="K12" authorId="0" shapeId="0" xr:uid="{00000000-0006-0000-0100-00003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ID#AAABSYiI7RU
    (2024-07-24 09:31:28)
Szeptember 18-19
	-Marti Csillag</t>
        </r>
      </text>
    </comment>
    <comment ref="M12" authorId="0" shapeId="0" xr:uid="{00000000-0006-0000-0100-00001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ID#AAABSYiI7aQ
    (2024-07-24 09:31:28)
November 3
	-Marti Csillag</t>
        </r>
      </text>
    </comment>
    <comment ref="N12" authorId="0" shapeId="0" xr:uid="{00000000-0006-0000-0100-00001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ID#AAABSYiI7d8
    (2024-07-24 09:31:28)
December 20-21-22, 27-28-29
	-Marti Csillag</t>
        </r>
      </text>
    </comment>
    <comment ref="C13" authorId="0" shapeId="0" xr:uid="{00000000-0006-0000-0100-00002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ID#AAABSYiI7Wg
    (2024-07-24 09:31:28)
Január 2-6
	-Marti Csillag</t>
        </r>
      </text>
    </comment>
    <comment ref="G13" authorId="0" shapeId="0" xr:uid="{00000000-0006-0000-0100-00005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ID#AAABSYiI7HM
    (2024-07-24 09:31:28)
Május 15-16, 23
	-Marti Csillag</t>
        </r>
      </text>
    </comment>
    <comment ref="H13" authorId="0" shapeId="0" xr:uid="{00000000-0006-0000-0100-00002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ID#AAABSYiI7Zw
    (2024-07-24 09:31:28)
Június 19.
	-Marti Csillag</t>
        </r>
      </text>
    </comment>
    <comment ref="I13" authorId="0" shapeId="0" xr:uid="{00000000-0006-0000-0100-00002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ID#AAABSYiI7VU
    (2024-07-24 09:31:28)
07.10
	-Marti Csillag</t>
        </r>
      </text>
    </comment>
    <comment ref="J13" authorId="0" shapeId="0" xr:uid="{00000000-0006-0000-0100-00004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ID#AAABSYiI7Nk
    (2024-07-24 09:31:28)
08.11,14.
	-Lenovo</t>
        </r>
      </text>
    </comment>
    <comment ref="K13" authorId="0" shapeId="0" xr:uid="{00000000-0006-0000-0100-00005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ID#AAABSYiI7HY
    (2024-07-24 09:31:28)
Szeptember 26
	-Marti Csillag</t>
        </r>
      </text>
    </comment>
    <comment ref="L13" authorId="0" shapeId="0" xr:uid="{00000000-0006-0000-0100-00001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ID#AAABSYiI7cQ
    (2024-07-24 09:31:28)
Október 13
	-Marti Csillag</t>
        </r>
      </text>
    </comment>
    <comment ref="M13" authorId="0" shapeId="0" xr:uid="{00000000-0006-0000-0100-00000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ID#AAABSYiI7hs
    (2024-07-24 09:31:28)
November 24,30
	-Marti Csillag</t>
        </r>
      </text>
    </comment>
    <comment ref="N13" authorId="0" shapeId="0" xr:uid="{00000000-0006-0000-0100-00004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ID#AAABSYiI7N4
    (2024-07-24 09:31:28)
December 20-21-22, 27-28-29
	-Marti Csillag</t>
        </r>
      </text>
    </comment>
    <comment ref="C14" authorId="0" shapeId="0" xr:uid="{00000000-0006-0000-0100-00004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ID#AAABSYiI7Mo
    (2024-07-24 09:31:28)
Január 2-6
	-Marti Csillag</t>
        </r>
      </text>
    </comment>
    <comment ref="D14" authorId="0" shapeId="0" xr:uid="{00000000-0006-0000-0100-00005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ID#AAABSYiI7H8
    (2024-07-24 09:31:28)
23
	-Marti Csillag</t>
        </r>
      </text>
    </comment>
    <comment ref="H14" authorId="0" shapeId="0" xr:uid="{00000000-0006-0000-0100-00007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ID#AAABSYiI654
    (2024-07-24 09:31:28)
Június 16.
	-Marti Csillag</t>
        </r>
      </text>
    </comment>
    <comment ref="I14" authorId="0" shapeId="0" xr:uid="{00000000-0006-0000-0100-00004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ID#AAABSYiI7JY
    (2024-07-24 09:31:28)
07.13
	-Marti Csillag</t>
        </r>
      </text>
    </comment>
    <comment ref="K14" authorId="0" shapeId="0" xr:uid="{00000000-0006-0000-0100-00006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ID#AAABSYiI7Ck
    (2024-07-24 09:31:28)
Szeptember 25-27
	-Marti Csillag</t>
        </r>
      </text>
    </comment>
    <comment ref="L14" authorId="0" shapeId="0" xr:uid="{00000000-0006-0000-0100-00002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ID#AAABSYiI7WQ
    (2024-07-24 09:31:28)
Október 16
	-Marti Csillag</t>
        </r>
      </text>
    </comment>
    <comment ref="M14" authorId="0" shapeId="0" xr:uid="{00000000-0006-0000-0100-00005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ID#AAABSYiI7HI
    (2024-07-24 09:31:28)
November 7,27
	-Marti Csillag</t>
        </r>
      </text>
    </comment>
    <comment ref="N14" authorId="0" shapeId="0" xr:uid="{00000000-0006-0000-0100-00003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ID#AAABSYiI7OQ
    (2024-07-24 09:31:28)
December 21-22, 27-28-29
	-Marti Csillag</t>
        </r>
      </text>
    </comment>
    <comment ref="D15" authorId="0" shapeId="0" xr:uid="{00000000-0006-0000-0100-00001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ID#AAABSYiI7e0
    (2024-07-24 09:31:28)
20-22
	-Marti Csillag</t>
        </r>
      </text>
    </comment>
    <comment ref="G15" authorId="0" shapeId="0" xr:uid="{00000000-0006-0000-0100-00004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ID#AAABSYiI7Lo
    (2024-07-24 09:31:28)
Május 2, 22.
	-Marti Csillag</t>
        </r>
      </text>
    </comment>
    <comment ref="H15" authorId="0" shapeId="0" xr:uid="{00000000-0006-0000-0100-00006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ID#AAABSYiI6_g
    (2024-07-24 09:31:28)
Június 28-29.
	-Marti Csillag</t>
        </r>
      </text>
    </comment>
    <comment ref="I15" authorId="0" shapeId="0" xr:uid="{00000000-0006-0000-0100-00006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ID#AAABSYiI7DE
    (2024-07-24 09:31:28)
07.26-28
	-Marti Csillag</t>
        </r>
      </text>
    </comment>
    <comment ref="J15" authorId="0" shapeId="0" xr:uid="{00000000-0006-0000-0100-00000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ID#AAABSYiI7f8
    (2024-07-24 09:31:28)
08.25,28.
	-Lenovo</t>
        </r>
      </text>
    </comment>
    <comment ref="K15" authorId="0" shapeId="0" xr:uid="{00000000-0006-0000-0100-00007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ID#AAABSYiI65E
    (2024-07-24 09:31:28)
Szeptember 25-26
	-Marti Csillag</t>
        </r>
      </text>
    </comment>
    <comment ref="L15" authorId="0" shapeId="0" xr:uid="{00000000-0006-0000-0100-00009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ID#AAABSYiI6zo
    (2024-07-24 09:31:28)
Október 2-5
	-Marti Csillag</t>
        </r>
      </text>
    </comment>
    <comment ref="C19" authorId="0" shapeId="0" xr:uid="{00000000-0006-0000-0100-00000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ID#AAABSYiI7gw
    (2024-07-24 09:31:28)
Január 2-6
	-Marti Csillag</t>
        </r>
      </text>
    </comment>
    <comment ref="D19" authorId="0" shapeId="0" xr:uid="{00000000-0006-0000-0100-00009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ID#AAABSYiI60I
    (2024-07-24 09:31:28)
22-24
	-Marti Csillag</t>
        </r>
      </text>
    </comment>
    <comment ref="E19" authorId="0" shapeId="0" xr:uid="{00000000-0006-0000-0100-00007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ID#AAABSYiI698
    (2024-07-24 09:31:28)
Március 13-14
	-Marti Csillag</t>
        </r>
      </text>
    </comment>
    <comment ref="F19" authorId="0" shapeId="0" xr:uid="{00000000-0006-0000-0100-00008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ID#AAABSYiI64s
    (2024-07-24 09:31:28)
04.24-25
	-Marti Csillag</t>
        </r>
      </text>
    </comment>
    <comment ref="H19" authorId="0" shapeId="0" xr:uid="{00000000-0006-0000-0100-00008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ID#AAABSYiI63o
    (2024-07-24 09:31:28)
Június 2,19.
	-Marti Csillag</t>
        </r>
      </text>
    </comment>
    <comment ref="I19" authorId="0" shapeId="0" xr:uid="{00000000-0006-0000-0100-00005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ID#AAABSYiI7Go
    (2024-07-24 09:31:28)
21-28
	-Marti Csillag</t>
        </r>
      </text>
    </comment>
    <comment ref="J19" authorId="0" shapeId="0" xr:uid="{00000000-0006-0000-0100-00003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ID#AAABSYiI7SE
    (2024-07-24 09:31:28)
08.14
	-Lenovo</t>
        </r>
      </text>
    </comment>
    <comment ref="K19" authorId="0" shapeId="0" xr:uid="{00000000-0006-0000-0100-00001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ID#AAABSYiI7eA
    (2024-07-24 09:31:28)
Szeptember 22
	-Marti Csillag</t>
        </r>
      </text>
    </comment>
    <comment ref="L19" authorId="0" shapeId="0" xr:uid="{00000000-0006-0000-0100-00003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ID#AAABSYiI7VA
    (2024-07-24 09:31:28)
Október 13,20
	-Marti Csillag</t>
        </r>
      </text>
    </comment>
    <comment ref="M19" authorId="0" shapeId="0" xr:uid="{00000000-0006-0000-0100-00007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ID#AAABSYiI66I
    (2024-07-24 09:31:28)
November 2-3-6
	-Marti Csillag</t>
        </r>
      </text>
    </comment>
    <comment ref="N19" authorId="0" shapeId="0" xr:uid="{00000000-0006-0000-0100-00004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ID#AAABSYiI7M0
    (2024-07-24 09:31:28)
December 19-20-21-22, 27-28-29
	-Marti Csillag</t>
        </r>
      </text>
    </comment>
    <comment ref="C20" authorId="0" shapeId="0" xr:uid="{00000000-0006-0000-0100-00000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ID#AAABSYiI7gQ
    (2024-07-24 09:31:28)
Január 2-6
	-Marti Csillag</t>
        </r>
      </text>
    </comment>
    <comment ref="D20" authorId="0" shapeId="0" xr:uid="{00000000-0006-0000-0100-00008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ID#AAABSYiI64k
    (2024-07-24 09:31:28)
Február 3,8,13-14,24
	-Marti Csillag</t>
        </r>
      </text>
    </comment>
    <comment ref="F20" authorId="0" shapeId="0" xr:uid="{00000000-0006-0000-0100-00006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ID#AAABSYiI7Ds
    (2024-07-24 09:31:28)
04.05
	-Marti Csillag</t>
        </r>
      </text>
    </comment>
    <comment ref="G20" authorId="0" shapeId="0" xr:uid="{00000000-0006-0000-0100-00002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ID#AAABSYiI7V8
    (2024-07-24 09:31:28)
Május 02, 23
	-Marti Csillag</t>
        </r>
      </text>
    </comment>
    <comment ref="H20" authorId="0" shapeId="0" xr:uid="{00000000-0006-0000-0100-00003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ID#AAABSYiI7Rg
    (2024-07-24 09:31:28)
Június 12.,26.
	-Marti Csillag</t>
        </r>
      </text>
    </comment>
    <comment ref="I20" authorId="0" shapeId="0" xr:uid="{00000000-0006-0000-0100-00003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ID#AAABSYiI7Qc
    (2024-07-24 09:31:28)
07.18-20
	-Marti Csillag</t>
        </r>
      </text>
    </comment>
    <comment ref="K20" authorId="0" shapeId="0" xr:uid="{00000000-0006-0000-0100-00004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ID#AAABSYiI7LA
    (2024-07-24 09:31:28)
Szeptember 25-26
	-Marti Csillag</t>
        </r>
      </text>
    </comment>
    <comment ref="L20" authorId="0" shapeId="0" xr:uid="{00000000-0006-0000-0100-00001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ID#AAABSYiI7cI
    (2024-07-24 09:31:28)
Október 13
	-Marti Csillag</t>
        </r>
      </text>
    </comment>
    <comment ref="M20" authorId="0" shapeId="0" xr:uid="{00000000-0006-0000-0100-00005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ID#AAABSYiI7Ho
    (2024-07-24 09:31:28)
November 2,20
	-Marti Csillag</t>
        </r>
      </text>
    </comment>
    <comment ref="N20" authorId="0" shapeId="0" xr:uid="{00000000-0006-0000-0100-00009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ID#AAABSYiI6yw
    (2024-07-24 09:31:28)
December 21-22, 27-28-29
	-Marti Csillag</t>
        </r>
      </text>
    </comment>
    <comment ref="D21" authorId="0" shapeId="0" xr:uid="{00000000-0006-0000-0100-00006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ID#AAABSYiI7A4
    (2024-07-24 09:31:28)
23-24
	-Marti Csillag</t>
        </r>
      </text>
    </comment>
    <comment ref="E21" authorId="0" shapeId="0" xr:uid="{00000000-0006-0000-0100-00007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ID#AAABSYiI6-8
    (2024-07-24 09:31:28)
Március 27-29.
	-Marti Csillag</t>
        </r>
      </text>
    </comment>
    <comment ref="F21" authorId="0" shapeId="0" xr:uid="{00000000-0006-0000-0100-00005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ID#AAABSYiI7Fo
    (2024-07-24 09:31:28)
04.05-06
	-Marti Csillag</t>
        </r>
      </text>
    </comment>
    <comment ref="G21" authorId="0" shapeId="0" xr:uid="{00000000-0006-0000-0100-00002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ID#AAABSYiI7Yg
    (2024-07-24 09:31:28)
Május 02, 23
	-Marti Csillag</t>
        </r>
      </text>
    </comment>
    <comment ref="H21" authorId="0" shapeId="0" xr:uid="{00000000-0006-0000-0100-00005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ID#AAABSYiI7HA
    (2024-07-24 09:31:28)
Június 12.,26.
	-Marti Csillag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2+AXB/Ji+fPlOMkk72dpMlr5W1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200-00005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ID#AAABSYiI63I
    (2024-07-24 09:31:28)
Január 3-7
	-Marti Csillag</t>
        </r>
      </text>
    </comment>
    <comment ref="D2" authorId="0" shapeId="0" xr:uid="{00000000-0006-0000-0200-00002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ID#AAABSYiI7S8
    (2024-07-24 09:31:28)
febr. 7,24
	-Marti Csillag</t>
        </r>
      </text>
    </comment>
    <comment ref="E2" authorId="0" shapeId="0" xr:uid="{00000000-0006-0000-0200-00004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ID#AAABSYiI7BU
    (2024-07-24 09:31:28)
március 4. 28
	-Marti Csillag</t>
        </r>
      </text>
    </comment>
    <comment ref="F2" authorId="0" shapeId="0" xr:uid="{00000000-0006-0000-0200-00005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ID#AAABSYiI6-o
    (2024-07-24 09:31:28)
04.22
	-Marti Csillag</t>
        </r>
      </text>
    </comment>
    <comment ref="G2" authorId="0" shapeId="0" xr:uid="{00000000-0006-0000-0200-00005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ID#AAABSYiI668
    (2024-07-24 09:31:28)
május 6, 9
	-Marti Csillag</t>
        </r>
      </text>
    </comment>
    <comment ref="H2" authorId="0" shapeId="0" xr:uid="{00000000-0006-0000-0200-00003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ID#AAABSYiI7KI
    (2024-07-24 09:31:28)
júni 9, 13
	-Marti Csillag</t>
        </r>
      </text>
    </comment>
    <comment ref="I2" authorId="0" shapeId="0" xr:uid="{00000000-0006-0000-0200-00004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ID#AAABSYiI6_c
    (2024-07-24 09:31:28)
07.19
	-Marti Csillag</t>
        </r>
      </text>
    </comment>
    <comment ref="J2" authorId="0" shapeId="0" xr:uid="{00000000-0006-0000-0200-00006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ID#AAABSYiI60E
    (2024-07-24 09:31:28)
aug. 15, 22-23
	-Marti Csillag</t>
        </r>
      </text>
    </comment>
    <comment ref="K2" authorId="0" shapeId="0" xr:uid="{00000000-0006-0000-0200-00001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ID#AAABSYiI7a8
    (2024-07-24 09:31:28)
09.27-30
	-Marti Csillag</t>
        </r>
      </text>
    </comment>
    <comment ref="L2" authorId="0" shapeId="0" xr:uid="{00000000-0006-0000-0200-00001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ID#AAABSYiI7bE
    (2024-07-24 09:31:28)
október 7, 15
	-Marti Csillag</t>
        </r>
      </text>
    </comment>
    <comment ref="M2" authorId="0" shapeId="0" xr:uid="{00000000-0006-0000-0200-00001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ID#AAABSYiI7cY
    (2024-07-24 09:31:28)
11.15
	-Marti Csillag</t>
        </r>
      </text>
    </comment>
    <comment ref="N2" authorId="0" shapeId="0" xr:uid="{00000000-0006-0000-0200-00000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ID#AAABSYiI7c8
    (2024-07-24 09:31:28)
december: 5,21-23, 27,29, 
január: 2-6
	-Marti Csillag</t>
        </r>
      </text>
    </comment>
    <comment ref="C3" authorId="0" shapeId="0" xr:uid="{00000000-0006-0000-0200-00004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ID#AAABSYiI7AE
    (2024-07-24 09:31:28)
Január 3-7
	-Marti Csillag</t>
        </r>
      </text>
    </comment>
    <comment ref="D3" authorId="0" shapeId="0" xr:uid="{00000000-0006-0000-0200-00003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ID#AAABSYiI7Og
    (2024-07-24 09:31:28)
febr. 3
	-Marti Csillag</t>
        </r>
      </text>
    </comment>
    <comment ref="F3" authorId="0" shapeId="0" xr:uid="{00000000-0006-0000-0200-00005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ID#AAABSYiI62U
    (2024-07-24 09:31:28)
04.22
	-Marti Csillag</t>
        </r>
      </text>
    </comment>
    <comment ref="G3" authorId="0" shapeId="0" xr:uid="{00000000-0006-0000-0200-00004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ID#AAABSYiI7BE
    (2024-07-24 09:31:28)
május 6, 9
	-Marti Csillag</t>
        </r>
      </text>
    </comment>
    <comment ref="H3" authorId="0" shapeId="0" xr:uid="{00000000-0006-0000-0200-00004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ID#AAABSYiI7Co
    (2024-07-24 09:31:28)
júni 9, 20
	-Marti Csillag</t>
        </r>
      </text>
    </comment>
    <comment ref="I3" authorId="0" shapeId="0" xr:uid="{00000000-0006-0000-0200-00005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ID#AAABSYiI64o
    (2024-07-24 09:31:28)
07.19
	-Marti Csillag</t>
        </r>
      </text>
    </comment>
    <comment ref="J3" authorId="0" shapeId="0" xr:uid="{00000000-0006-0000-0200-00000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ID#AAABSYiI7dE
    (2024-07-24 09:31:28)
aug 22
	-Marti Csillag</t>
        </r>
      </text>
    </comment>
    <comment ref="K3" authorId="0" shapeId="0" xr:uid="{00000000-0006-0000-0200-00001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ID#AAABSYiI7dA
    (2024-07-24 09:31:28)
09.27-30.
	-Marti Csillag</t>
        </r>
      </text>
    </comment>
    <comment ref="L3" authorId="0" shapeId="0" xr:uid="{00000000-0006-0000-0200-00000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ID#AAABSYiI7ic
    (2024-07-24 09:31:28)
október 15
	-Marti Csillag</t>
        </r>
      </text>
    </comment>
    <comment ref="N3" authorId="0" shapeId="0" xr:uid="{00000000-0006-0000-0200-00004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ID#AAABSYiI7FU
    (2024-07-24 09:31:28)
december: 5-6, 22-23, 27-30
január: 2-6
	-Marti Csillag</t>
        </r>
      </text>
    </comment>
    <comment ref="C4" authorId="0" shapeId="0" xr:uid="{00000000-0006-0000-0200-00000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ID#AAABSYiI7j8
    (2024-07-24 09:31:28)
Január 14
	-Marti Csillag</t>
        </r>
      </text>
    </comment>
    <comment ref="F4" authorId="0" shapeId="0" xr:uid="{00000000-0006-0000-0200-00001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ID#AAABSYiI7aA
    (2024-07-24 09:31:28)
04.25
	-Marti Csillag</t>
        </r>
      </text>
    </comment>
    <comment ref="H4" authorId="0" shapeId="0" xr:uid="{00000000-0006-0000-0200-00001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ID#AAABSYiI7Z0
    (2024-07-24 09:31:28)
júni 16-17
	-Marti Csillag</t>
        </r>
      </text>
    </comment>
    <comment ref="J4" authorId="0" shapeId="0" xr:uid="{00000000-0006-0000-0200-00006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ID#AAABSYiI6y8
    (2024-07-24 09:31:28)
Aug. 23-26
	-Marti Csillag</t>
        </r>
      </text>
    </comment>
    <comment ref="K4" authorId="0" shapeId="0" xr:uid="{00000000-0006-0000-0200-00006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ID#AAABSYiI60M
    (2024-07-24 09:31:28)
09.09
	-Marti Csillag</t>
        </r>
      </text>
    </comment>
    <comment ref="C5" authorId="0" shapeId="0" xr:uid="{00000000-0006-0000-0200-00006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ID#AAABSYiI6zA
    (2024-07-24 09:31:28)
Január 3-7
	-Marti Csillag</t>
        </r>
      </text>
    </comment>
    <comment ref="D5" authorId="0" shapeId="0" xr:uid="{00000000-0006-0000-0200-00001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ID#AAABSYiI7bU
    (2024-07-24 09:31:28)
febr. 3-4, 7
	-Marti Csillag</t>
        </r>
      </text>
    </comment>
    <comment ref="E5" authorId="0" shapeId="0" xr:uid="{00000000-0006-0000-0200-00001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ID#AAABSYiI7aU
    (2024-07-24 09:31:28)
március 16, 25, 26
	-Marti Csillag</t>
        </r>
      </text>
    </comment>
    <comment ref="F5" authorId="0" shapeId="0" xr:uid="{00000000-0006-0000-0200-00000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ID#AAABSYiI7g4
    (2024-07-24 09:31:28)
04.22, 29.
	-Marti Csillag</t>
        </r>
      </text>
    </comment>
    <comment ref="G5" authorId="0" shapeId="0" xr:uid="{00000000-0006-0000-0200-00002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ID#AAABSYiI7T8
    (2024-07-24 09:31:28)
május 9-10
	-Marti Csillag</t>
        </r>
      </text>
    </comment>
    <comment ref="H5" authorId="0" shapeId="0" xr:uid="{00000000-0006-0000-0200-00005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ID#AAABSYiI65k
    (2024-07-24 09:31:28)
júni 13, 20,28
	-Marti Csillag</t>
        </r>
      </text>
    </comment>
    <comment ref="I5" authorId="0" shapeId="0" xr:uid="{00000000-0006-0000-0200-00000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ID#AAABSYiI7h0
    (2024-07-24 09:31:28)
07.25
	-Marti Csillag</t>
        </r>
      </text>
    </comment>
    <comment ref="J5" authorId="0" shapeId="0" xr:uid="{00000000-0006-0000-0200-00003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ID#AAABSYiI7No
    (2024-07-24 09:31:28)
aug 15
	-Marti Csillag</t>
        </r>
      </text>
    </comment>
    <comment ref="K5" authorId="0" shapeId="0" xr:uid="{00000000-0006-0000-0200-00001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ID#AAABSYiI7a4
    (2024-07-24 09:31:28)
09.02
	-Marti Csillag</t>
        </r>
      </text>
    </comment>
    <comment ref="L5" authorId="0" shapeId="0" xr:uid="{00000000-0006-0000-0200-00004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ID#AAABSYiI7EE
    (2024-07-24 09:31:28)
Október 15
	-Marti Csillag</t>
        </r>
      </text>
    </comment>
    <comment ref="M5" authorId="0" shapeId="0" xr:uid="{00000000-0006-0000-0200-00002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ID#AAABSYiI7Sg
    (2024-07-24 09:31:28)
11.07
	-Marti Csillag</t>
        </r>
      </text>
    </comment>
    <comment ref="N5" authorId="0" shapeId="0" xr:uid="{00000000-0006-0000-0200-00005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ID#AAABSYiI68Q
    (2024-07-24 09:31:28)
december: 21-23, 27-30
	-Marti Csillag</t>
        </r>
      </text>
    </comment>
    <comment ref="C6" authorId="0" shapeId="0" xr:uid="{00000000-0006-0000-0200-00002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ID#AAABSYiI7UM
    (2024-07-24 09:31:28)
Január 3-7
	-Marti Csillag</t>
        </r>
      </text>
    </comment>
    <comment ref="D6" authorId="0" shapeId="0" xr:uid="{00000000-0006-0000-0200-00000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ID#AAABSYiI7io
    (2024-07-24 09:31:28)
1-4
	-Marti Csillag</t>
        </r>
      </text>
    </comment>
    <comment ref="E6" authorId="0" shapeId="0" xr:uid="{00000000-0006-0000-0200-00001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ID#AAABSYiI7XM
    (2024-07-24 09:31:28)
március 4, 26
	-Marti Csillag</t>
        </r>
      </text>
    </comment>
    <comment ref="F6" authorId="0" shapeId="0" xr:uid="{00000000-0006-0000-0200-00002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ID#AAABSYiI7Sc
    (2024-07-24 09:31:28)
04.22
	-Marti Csillag</t>
        </r>
      </text>
    </comment>
    <comment ref="H6" authorId="0" shapeId="0" xr:uid="{00000000-0006-0000-0200-00006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ID#AAABSYiI6y4
    (2024-07-24 09:31:28)
júni 17-30
	-Marti Csillag</t>
        </r>
      </text>
    </comment>
    <comment ref="L6" authorId="0" shapeId="0" xr:uid="{00000000-0006-0000-0200-00003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ID#AAABSYiI7PI
    (2024-07-24 09:31:28)
Október 14-15
	-Marti Csillag</t>
        </r>
      </text>
    </comment>
    <comment ref="M6" authorId="0" shapeId="0" xr:uid="{00000000-0006-0000-0200-00003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ID#AAABSYiI7Lc
    (2024-07-24 09:31:28)
11.29
	-Marti Csillag</t>
        </r>
      </text>
    </comment>
    <comment ref="N6" authorId="0" shapeId="0" xr:uid="{00000000-0006-0000-0200-00005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ID#AAABSYiI67Q
    (2024-07-24 09:31:28)
december: 5-6,21-23, 27-29, 
január: 2-3
	-Marti Csillag</t>
        </r>
      </text>
    </comment>
    <comment ref="C7" authorId="0" shapeId="0" xr:uid="{00000000-0006-0000-0200-00005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ID#AAABSYiI63Y
    (2024-07-24 09:31:28)
Január 3-7
	-Marti Csillag</t>
        </r>
      </text>
    </comment>
    <comment ref="E7" authorId="0" shapeId="0" xr:uid="{00000000-0006-0000-0200-00003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ID#AAABSYiI7Gw
    (2024-07-24 09:31:28)
március 26
	-Marti Csillag</t>
        </r>
      </text>
    </comment>
    <comment ref="G7" authorId="0" shapeId="0" xr:uid="{00000000-0006-0000-0200-00004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ID#AAABSYiI7Ec
    (2024-07-24 09:31:28)
május 6
	-Marti Csillag</t>
        </r>
      </text>
    </comment>
    <comment ref="H7" authorId="0" shapeId="0" xr:uid="{00000000-0006-0000-0200-00001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ID#AAABSYiI7Xw
    (2024-07-24 09:31:28)
júni 23-24
	-Marti Csillag</t>
        </r>
      </text>
    </comment>
    <comment ref="J7" authorId="0" shapeId="0" xr:uid="{00000000-0006-0000-0200-00001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ID#AAABSYiI7cw
    (2024-07-24 09:31:28)
aug. 29-31
	-Marti Csillag</t>
        </r>
      </text>
    </comment>
    <comment ref="K7" authorId="0" shapeId="0" xr:uid="{00000000-0006-0000-0200-00000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ID#AAABSYiI7eE
    (2024-07-24 09:31:28)
szept. 1-2
	-Marti Csillag</t>
        </r>
      </text>
    </comment>
    <comment ref="L7" authorId="0" shapeId="0" xr:uid="{00000000-0006-0000-0200-00000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ID#AAABSYiI7hQ
    (2024-07-24 09:31:28)
október 15, 26
	-Marti Csillag</t>
        </r>
      </text>
    </comment>
    <comment ref="N7" authorId="0" shapeId="0" xr:uid="{00000000-0006-0000-0200-00004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ID#AAABSYiI7Fc
    (2024-07-24 09:31:28)
december:5, 21-23, 27-29, 
január: 2-5
	-Marti Csillag</t>
        </r>
      </text>
    </comment>
    <comment ref="C8" authorId="0" shapeId="0" xr:uid="{00000000-0006-0000-0200-00005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ID#AAABSYiI658
    (2024-07-24 09:31:28)
Január 3-7
	-Marti Csillag</t>
        </r>
      </text>
    </comment>
    <comment ref="D8" authorId="0" shapeId="0" xr:uid="{00000000-0006-0000-0200-00003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ID#AAABSYiI7KA
    (2024-07-24 09:31:28)
febr. 25, 28
	-Marti Csillag</t>
        </r>
      </text>
    </comment>
    <comment ref="E8" authorId="0" shapeId="0" xr:uid="{00000000-0006-0000-0200-00005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ID#AAABSYiI67g
    (2024-07-24 09:31:28)
március 18, 25,26
	-Marti Csillag</t>
        </r>
      </text>
    </comment>
    <comment ref="F8" authorId="0" shapeId="0" xr:uid="{00000000-0006-0000-0200-00004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ID#AAABSYiI7B4
    (2024-07-24 09:31:28)
04.22
	-Marti Csillag</t>
        </r>
      </text>
    </comment>
    <comment ref="G8" authorId="0" shapeId="0" xr:uid="{00000000-0006-0000-0200-00005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ID#AAABSYiI64I
    (2024-07-24 09:31:28)
május 25
	-Marti Csillag</t>
        </r>
      </text>
    </comment>
    <comment ref="H8" authorId="0" shapeId="0" xr:uid="{00000000-0006-0000-0200-00000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ID#AAABSYiI7dI
    (2024-07-24 09:31:28)
júni 23-24
	-Marti Csillag</t>
        </r>
      </text>
    </comment>
    <comment ref="I8" authorId="0" shapeId="0" xr:uid="{00000000-0006-0000-0200-00002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ID#AAABSYiI7RI
    (2024-07-24 09:31:28)
07.26
	-Marti Csillag</t>
        </r>
      </text>
    </comment>
    <comment ref="J8" authorId="0" shapeId="0" xr:uid="{00000000-0006-0000-0200-00002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ID#AAABSYiI7Pw
    (2024-07-24 09:31:28)
aug. 25-26
	-Marti Csillag</t>
        </r>
      </text>
    </comment>
    <comment ref="K8" authorId="0" shapeId="0" xr:uid="{00000000-0006-0000-0200-00004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ID#AAABSYiI7Bk
    (2024-07-24 09:31:28)
09.09., 16.
	-Marti Csillag</t>
        </r>
      </text>
    </comment>
    <comment ref="L8" authorId="0" shapeId="0" xr:uid="{00000000-0006-0000-0200-00006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ID#AAABSYiI60U
    (2024-07-24 09:31:28)
Október 14-15
	-Marti Csillag</t>
        </r>
      </text>
    </comment>
    <comment ref="M8" authorId="0" shapeId="0" xr:uid="{00000000-0006-0000-0200-00002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ID#AAABSYiI7So
    (2024-07-24 09:31:28)
11.28
	-Marti Csillag</t>
        </r>
      </text>
    </comment>
    <comment ref="N8" authorId="0" shapeId="0" xr:uid="{00000000-0006-0000-0200-00002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ID#AAABSYiI7Vs
    (2024-07-24 09:31:28)
december:12-13, 19-23, 27-29
január: 2
	-Marti Csillag</t>
        </r>
      </text>
    </comment>
    <comment ref="G9" authorId="0" shapeId="0" xr:uid="{00000000-0006-0000-0200-00001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ID#AAABSYiI7XI
    (2024-07-24 09:31:28)
május
	-Marti Csillag</t>
        </r>
      </text>
    </comment>
    <comment ref="H9" authorId="0" shapeId="0" xr:uid="{00000000-0006-0000-0200-00003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ID#AAABSYiI7L0
    (2024-07-24 09:31:28)
júni 10
	-Marti Csillag</t>
        </r>
      </text>
    </comment>
    <comment ref="J9" authorId="0" shapeId="0" xr:uid="{00000000-0006-0000-0200-00004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ID#AAABSYiI7Gs
    (2024-07-24 09:31:28)
aug.15.
	-Marti Csillag</t>
        </r>
      </text>
    </comment>
    <comment ref="K9" authorId="0" shapeId="0" xr:uid="{00000000-0006-0000-0200-00004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ID#AAABSYiI7GM
    (2024-07-24 09:31:28)
09.02., 08., 16., 26.
	-Marti Csillag</t>
        </r>
      </text>
    </comment>
    <comment ref="L9" authorId="0" shapeId="0" xr:uid="{00000000-0006-0000-0200-00002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ID#AAABSYiI7Ww
    (2024-07-24 09:31:28)
Október 15, 19-20
	-Marti Csillag</t>
        </r>
      </text>
    </comment>
    <comment ref="M9" authorId="0" shapeId="0" xr:uid="{00000000-0006-0000-0200-00005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ID#AAABSYiI67s
    (2024-07-24 09:31:28)
11.21
	-Marti Csillag</t>
        </r>
      </text>
    </comment>
    <comment ref="N9" authorId="0" shapeId="0" xr:uid="{00000000-0006-0000-0200-00002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ID#AAABSYiI7Wo
    (2024-07-24 09:31:28)
december:1-2, 20-23, 27-30, 
január: 2-3
	-Marti Csillag</t>
        </r>
      </text>
    </comment>
    <comment ref="C10" authorId="0" shapeId="0" xr:uid="{00000000-0006-0000-0200-00001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ID#AAABSYiI7YE
    (2024-07-24 09:31:28)
Január 3-7
	-Marti Csillag</t>
        </r>
      </text>
    </comment>
    <comment ref="D10" authorId="0" shapeId="0" xr:uid="{00000000-0006-0000-0200-00005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ID#AAABSYiI648
    (2024-07-24 09:31:28)
febr. 22-23
	-Marti Csillag</t>
        </r>
      </text>
    </comment>
    <comment ref="E10" authorId="0" shapeId="0" xr:uid="{00000000-0006-0000-0200-00006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ID#AAABSYiI6zs
    (2024-07-24 09:31:28)
március 26
	-Marti Csillag</t>
        </r>
      </text>
    </comment>
    <comment ref="H10" authorId="0" shapeId="0" xr:uid="{00000000-0006-0000-0200-00000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ID#AAABSYiI7hY
    (2024-07-24 09:31:28)
júni 13, 17
	-Marti Csillag</t>
        </r>
      </text>
    </comment>
    <comment ref="I10" authorId="0" shapeId="0" xr:uid="{00000000-0006-0000-0200-00003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ID#AAABSYiI7MA
    (2024-07-24 09:31:28)
07.21
	-Marti Csillag</t>
        </r>
      </text>
    </comment>
    <comment ref="J10" authorId="0" shapeId="0" xr:uid="{00000000-0006-0000-0200-00006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ID#AAABSYiI6zg
    (2024-07-24 09:31:28)
aug. 15.
	-Marti Csillag</t>
        </r>
      </text>
    </comment>
    <comment ref="K10" authorId="0" shapeId="0" xr:uid="{00000000-0006-0000-0200-00005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ID#AAABSYiI69I
    (2024-07-24 09:31:28)
09.09., 15-16., 30.
	-Marti Csillag</t>
        </r>
      </text>
    </comment>
    <comment ref="L10" authorId="0" shapeId="0" xr:uid="{00000000-0006-0000-0200-00000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ID#AAABSYiI7jU
    (2024-07-24 09:31:28)
Október 15, 21, 24
	-Marti Csillag</t>
        </r>
      </text>
    </comment>
    <comment ref="M10" authorId="0" shapeId="0" xr:uid="{00000000-0006-0000-0200-00002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ID#AAABSYiI7SY
    (2024-07-24 09:31:28)
11.21
	-Marti Csillag</t>
        </r>
      </text>
    </comment>
    <comment ref="N10" authorId="0" shapeId="0" xr:uid="{00000000-0006-0000-0200-00003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ID#AAABSYiI7JU
    (2024-07-24 09:31:28)
december:5, 19-23, 27-30, 
január: 2-3
	-Marti Csillag</t>
        </r>
      </text>
    </comment>
    <comment ref="C11" authorId="0" shapeId="0" xr:uid="{00000000-0006-0000-0200-00004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ID#AAABSYiI7DU
    (2024-07-24 09:31:28)
Január 5-7
	-Marti Csillag</t>
        </r>
      </text>
    </comment>
    <comment ref="D11" authorId="0" shapeId="0" xr:uid="{00000000-0006-0000-0200-00002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ID#AAABSYiI7U4
    (2024-07-24 09:31:28)
febr. 21-23
	-Marti Csillag</t>
        </r>
      </text>
    </comment>
    <comment ref="E11" authorId="0" shapeId="0" xr:uid="{00000000-0006-0000-0200-00003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ID#AAABSYiI7HQ
    (2024-07-24 09:31:28)
március 26
	-Marti Csillag</t>
        </r>
      </text>
    </comment>
    <comment ref="G11" authorId="0" shapeId="0" xr:uid="{00000000-0006-0000-0200-00003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ID#AAABSYiI7M4
    (2024-07-24 09:31:28)
május 13
	-Marti Csillag</t>
        </r>
      </text>
    </comment>
    <comment ref="H11" authorId="0" shapeId="0" xr:uid="{00000000-0006-0000-0200-00006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ID#AAABSYiI6zk
    (2024-07-24 09:31:28)
júni 9
	-Marti Csillag</t>
        </r>
      </text>
    </comment>
    <comment ref="L11" authorId="0" shapeId="0" xr:uid="{00000000-0006-0000-0200-00004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ID#AAABSYiI7B0
    (2024-07-24 09:31:28)
Október 11-15
	-Marti Csillag</t>
        </r>
      </text>
    </comment>
    <comment ref="N11" authorId="0" shapeId="0" xr:uid="{00000000-0006-0000-0200-00000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ID#AAABSYiI7is
    (2024-07-24 09:31:28)
december: 19-23,27,29, 
január: 2-3
	-Marti Csillag</t>
        </r>
      </text>
    </comment>
    <comment ref="C16" authorId="0" shapeId="0" xr:uid="{00000000-0006-0000-0200-00004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ID#AAABSYiI6_8
    (2024-07-24 09:31:28)
január 3-7, 24
	-Marti Csillag</t>
        </r>
      </text>
    </comment>
    <comment ref="D16" authorId="0" shapeId="0" xr:uid="{00000000-0006-0000-0200-00002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ID#AAABSYiI7PE
    (2024-07-24 09:31:28)
febr. 1-4
	-Marti Csillag</t>
        </r>
      </text>
    </comment>
    <comment ref="E16" authorId="0" shapeId="0" xr:uid="{00000000-0006-0000-0200-00006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ID#AAABSYiI60c
    (2024-07-24 09:31:28)
március 4, 26
	-Marti Csillag</t>
        </r>
      </text>
    </comment>
    <comment ref="F16" authorId="0" shapeId="0" xr:uid="{00000000-0006-0000-0200-00003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ID#AAABSYiI7MY
    (2024-07-24 09:31:28)
04.22.
	-Marti Csillag</t>
        </r>
      </text>
    </comment>
    <comment ref="G16" authorId="0" shapeId="0" xr:uid="{00000000-0006-0000-0200-00002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ID#AAABSYiI7W0
    (2024-07-24 09:31:28)
május 6, 11
	-Marti Csillag</t>
        </r>
      </text>
    </comment>
    <comment ref="H16" authorId="0" shapeId="0" xr:uid="{00000000-0006-0000-0200-00001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ID#AAABSYiI7Z8
    (2024-07-24 09:31:28)
júni 17-30
	-Marti Csillag</t>
        </r>
      </text>
    </comment>
    <comment ref="L16" authorId="0" shapeId="0" xr:uid="{00000000-0006-0000-0200-00002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ID#AAABSYiI7XA
    (2024-07-24 09:31:28)
Október 14-15
	-Marti Csillag</t>
        </r>
      </text>
    </comment>
    <comment ref="M16" authorId="0" shapeId="0" xr:uid="{00000000-0006-0000-0200-00000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ID#AAABSYiI7i4
    (2024-07-24 09:31:28)
11.29
	-Marti Csillag</t>
        </r>
      </text>
    </comment>
    <comment ref="N16" authorId="0" shapeId="0" xr:uid="{00000000-0006-0000-0200-00001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ID#AAABSYiI7W8
    (2024-07-24 09:31:28)
december: 5-6,21-23, 27-29, 
január: 2-3
	-Marti Csillag</t>
        </r>
      </text>
    </comment>
    <comment ref="I17" authorId="0" shapeId="0" xr:uid="{00000000-0006-0000-0200-00003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ID#AAABSYiI7LI
    (2024-07-24 09:31:28)
07.19
	-Marti Csillag</t>
        </r>
      </text>
    </comment>
    <comment ref="J17" authorId="0" shapeId="0" xr:uid="{00000000-0006-0000-0200-00003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ID#AAABSYiI7I0
    (2024-07-24 09:31:28)
aug 15, 22-23
	-Marti Csillag</t>
        </r>
      </text>
    </comment>
    <comment ref="K17" authorId="0" shapeId="0" xr:uid="{00000000-0006-0000-0200-00003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ID#AAABSYiI7LM
    (2024-07-24 09:31:28)
09.27-30.
	-Marti Csillag</t>
        </r>
      </text>
    </comment>
    <comment ref="L17" authorId="0" shapeId="0" xr:uid="{00000000-0006-0000-0200-00000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ID#AAABSYiI7e8
    (2024-07-24 09:31:28)
október 7, 15
	-Marti Csillag</t>
        </r>
      </text>
    </comment>
    <comment ref="N17" authorId="0" shapeId="0" xr:uid="{00000000-0006-0000-0200-00005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ID#AAABSYiI614
    (2024-07-24 09:31:28)
december:5, 21-23, 27-30,
	-Marti Csillag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0XPvwvkkQVnCQK1jDVQNnmaGso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300-00004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ID#AAABSYiI6_Q
    (2024-07-24 09:31:28)
4,18
	-Henriette</t>
        </r>
      </text>
    </comment>
    <comment ref="D2" authorId="0" shapeId="0" xr:uid="{00000000-0006-0000-0300-00004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ID#AAABSYiI684
    (2024-07-24 09:31:28)
5,17
	-Henriette</t>
        </r>
      </text>
    </comment>
    <comment ref="E2" authorId="0" shapeId="0" xr:uid="{00000000-0006-0000-0300-00005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ID#AAABSYiI6z0
    (2024-07-24 09:31:28)
5,12
	-Henriette</t>
        </r>
      </text>
    </comment>
    <comment ref="F2" authorId="0" shapeId="0" xr:uid="{00000000-0006-0000-0300-00002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ID#AAABSYiI7Q8
    (2024-07-24 09:31:28)
1,12
	-Henriette</t>
        </r>
      </text>
    </comment>
    <comment ref="G2" authorId="0" shapeId="0" xr:uid="{00000000-0006-0000-0300-00000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ID#AAABSYiI7bM
    (2024-07-24 09:31:28)
7,21
	-Henriette</t>
        </r>
      </text>
    </comment>
    <comment ref="H2" authorId="0" shapeId="0" xr:uid="{00000000-0006-0000-0300-00002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ID#AAABSYiI7Lw
    (2024-07-24 09:31:28)
21-23
	-Henriette</t>
        </r>
      </text>
    </comment>
    <comment ref="I2" authorId="0" shapeId="0" xr:uid="{00000000-0006-0000-0300-00002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ID#AAABSYiI7MU
    (2024-07-24 09:31:28)
9,22-23
	-Lenovo</t>
        </r>
      </text>
    </comment>
    <comment ref="K2" authorId="0" shapeId="0" xr:uid="{00000000-0006-0000-0300-00000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ID#AAABSYiI7b0
    (2024-07-24 09:31:28)
2,13
	-Marti Csillag</t>
        </r>
      </text>
    </comment>
    <comment ref="L2" authorId="0" shapeId="0" xr:uid="{00000000-0006-0000-0300-00004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ID#AAABSYiI6-A
    (2024-07-24 09:31:28)
11,15
	-Marti Csillag</t>
        </r>
      </text>
    </comment>
    <comment ref="M2" authorId="0" shapeId="0" xr:uid="{00000000-0006-0000-0300-00000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ID#AAABSYiI7jM
    (2024-07-24 09:31:28)
15
	-Marti Csillag</t>
        </r>
      </text>
    </comment>
    <comment ref="N2" authorId="0" shapeId="0" xr:uid="{00000000-0006-0000-0300-00005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ID#AAABSYiI61o
    (2024-07-24 09:31:28)
december: 16, 20-21, 27-28
2022.január 03-07
	-Marti Csillag</t>
        </r>
      </text>
    </comment>
    <comment ref="C3" authorId="0" shapeId="0" xr:uid="{00000000-0006-0000-0300-00003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ID#AAABSYiI7F8
    (2024-07-24 09:31:28)
4, 25
	-Henriette</t>
        </r>
      </text>
    </comment>
    <comment ref="D3" authorId="0" shapeId="0" xr:uid="{00000000-0006-0000-0300-00000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ID#AAABSYiI7jc
    (2024-07-24 09:31:28)
24
	-Henriette</t>
        </r>
      </text>
    </comment>
    <comment ref="E3" authorId="0" shapeId="0" xr:uid="{00000000-0006-0000-0300-00004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ID#AAABSYiI68U
    (2024-07-24 09:31:28)
5,12
	-Henriette</t>
        </r>
      </text>
    </comment>
    <comment ref="F3" authorId="0" shapeId="0" xr:uid="{00000000-0006-0000-0300-00000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ID#AAABSYiI7bo
    (2024-07-24 09:31:28)
1,12
	-Henriette</t>
        </r>
      </text>
    </comment>
    <comment ref="G3" authorId="0" shapeId="0" xr:uid="{00000000-0006-0000-0300-00001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ID#AAABSYiI7XQ
    (2024-07-24 09:31:28)
7,21
	-Henriette</t>
        </r>
      </text>
    </comment>
    <comment ref="H3" authorId="0" shapeId="0" xr:uid="{00000000-0006-0000-0300-00001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ID#AAABSYiI7WI
    (2024-07-24 09:31:28)
22-23
	-Henriette</t>
        </r>
      </text>
    </comment>
    <comment ref="I3" authorId="0" shapeId="0" xr:uid="{00000000-0006-0000-0300-00003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ID#AAABSYiI7EU
    (2024-07-24 09:31:28)
22-23
	-Lenovo</t>
        </r>
      </text>
    </comment>
    <comment ref="K3" authorId="0" shapeId="0" xr:uid="{00000000-0006-0000-0300-00000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ID#AAABSYiI7gk
    (2024-07-24 09:31:28)
2,13
	-Marti Csillag</t>
        </r>
      </text>
    </comment>
    <comment ref="L3" authorId="0" shapeId="0" xr:uid="{00000000-0006-0000-0300-00003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ID#AAABSYiI7Bo
    (2024-07-24 09:31:28)
szabadság: 11-14
gyerek miatti táppénz: 15-29
	-Marti Csillag</t>
        </r>
      </text>
    </comment>
    <comment ref="M3" authorId="0" shapeId="0" xr:uid="{00000000-0006-0000-0300-00004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ID#AAABSYiI674
    (2024-07-24 09:31:28)
15
	-Marti Csillag</t>
        </r>
      </text>
    </comment>
    <comment ref="N3" authorId="0" shapeId="0" xr:uid="{00000000-0006-0000-0300-00002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ID#AAABSYiI7Rs
    (2024-07-24 09:31:28)
December: 20, 27-28
Január 3-7
	-Marti Csillag</t>
        </r>
      </text>
    </comment>
    <comment ref="M4" authorId="0" shapeId="0" xr:uid="{00000000-0006-0000-0300-00001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ID#AAABSYiI7T0
    (2024-07-24 09:31:28)
29
	-Marti Csillag</t>
        </r>
      </text>
    </comment>
    <comment ref="N4" authorId="0" shapeId="0" xr:uid="{00000000-0006-0000-0300-00003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ID#AAABSYiI7JE
    (2024-07-24 09:31:28)
29-30-31
	-Marti Csillag</t>
        </r>
      </text>
    </comment>
    <comment ref="D5" authorId="0" shapeId="0" xr:uid="{00000000-0006-0000-0300-00002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ID#AAABSYiI7NE
    (2024-07-24 09:31:28)
17
	-Henriette</t>
        </r>
      </text>
    </comment>
    <comment ref="E5" authorId="0" shapeId="0" xr:uid="{00000000-0006-0000-0300-00004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ID#AAABSYiI68s
    (2024-07-24 09:31:28)
5,12
	-Henriette</t>
        </r>
      </text>
    </comment>
    <comment ref="F5" authorId="0" shapeId="0" xr:uid="{00000000-0006-0000-0300-00000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ID#AAABSYiI7h8
    (2024-07-24 09:31:28)
1,6
	-Henriette</t>
        </r>
      </text>
    </comment>
    <comment ref="H5" authorId="0" shapeId="0" xr:uid="{00000000-0006-0000-0300-00005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ID#AAABSYiI64Y
    (2024-07-24 09:31:28)
28-29
	-Henriette</t>
        </r>
      </text>
    </comment>
    <comment ref="I5" authorId="0" shapeId="0" xr:uid="{00000000-0006-0000-0300-00001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ID#AAABSYiI7Tg
    (2024-07-24 09:31:28)
7-9
	-Henriette</t>
        </r>
      </text>
    </comment>
    <comment ref="C6" authorId="0" shapeId="0" xr:uid="{00000000-0006-0000-0300-00005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ID#AAABSYiI630
    (2024-07-24 09:31:28)
15,22
	-Henriette</t>
        </r>
      </text>
    </comment>
    <comment ref="D6" authorId="0" shapeId="0" xr:uid="{00000000-0006-0000-0300-00000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ID#AAABSYiI7dc
    (2024-07-24 09:31:28)
5,12,19
	-Henriette</t>
        </r>
      </text>
    </comment>
    <comment ref="E6" authorId="0" shapeId="0" xr:uid="{00000000-0006-0000-0300-00001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ID#AAABSYiI7Xo
    (2024-07-24 09:31:28)
12,16,31
	-Henriette</t>
        </r>
      </text>
    </comment>
    <comment ref="F6" authorId="0" shapeId="0" xr:uid="{00000000-0006-0000-0300-00001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ID#AAABSYiI7VM
    (2024-07-24 09:31:28)
1,6,12
	-Henriette</t>
        </r>
      </text>
    </comment>
    <comment ref="G6" authorId="0" shapeId="0" xr:uid="{00000000-0006-0000-0300-00005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ID#AAABSYiI60Y
    (2024-07-24 09:31:28)
20,21
	-Henriette</t>
        </r>
      </text>
    </comment>
    <comment ref="H6" authorId="0" shapeId="0" xr:uid="{00000000-0006-0000-0300-00000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ID#AAABSYiI7dM
    (2024-07-24 09:31:28)
4,11
	-Henriette</t>
        </r>
      </text>
    </comment>
    <comment ref="I6" authorId="0" shapeId="0" xr:uid="{00000000-0006-0000-0300-00003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ID#AAABSYiI7FM
    (2024-07-24 09:31:28)
7-8-9
	-Lenovo</t>
        </r>
      </text>
    </comment>
    <comment ref="K6" authorId="0" shapeId="0" xr:uid="{00000000-0006-0000-0300-00000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ID#AAABSYiI7gA
    (2024-07-24 09:31:28)
2,3
	-Marti Csillag</t>
        </r>
      </text>
    </comment>
    <comment ref="L6" authorId="0" shapeId="0" xr:uid="{00000000-0006-0000-0300-00004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ID#AAABSYiI69U
    (2024-07-24 09:31:28)
18-19
	-Marti Csillag</t>
        </r>
      </text>
    </comment>
    <comment ref="M6" authorId="0" shapeId="0" xr:uid="{00000000-0006-0000-0300-00000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ID#AAABSYiI7b8
    (2024-07-24 09:31:28)
18-19
	-Marti Csillag</t>
        </r>
      </text>
    </comment>
    <comment ref="N6" authorId="0" shapeId="0" xr:uid="{00000000-0006-0000-0300-00005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ID#AAABSYiI62I
    (2024-07-24 09:31:28)
23
27-31
	-Marti Csillag</t>
        </r>
      </text>
    </comment>
    <comment ref="C7" authorId="0" shapeId="0" xr:uid="{00000000-0006-0000-0300-00005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ID#AAABSYiI63Q
    (2024-07-24 09:31:28)
8
	-Henriette</t>
        </r>
      </text>
    </comment>
    <comment ref="E7" authorId="0" shapeId="0" xr:uid="{00000000-0006-0000-0300-00001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ID#AAABSYiI7X4
    (2024-07-24 09:31:28)
11,12
	-Henriette</t>
        </r>
      </text>
    </comment>
    <comment ref="F7" authorId="0" shapeId="0" xr:uid="{00000000-0006-0000-0300-00004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ID#AAABSYiI7AM
    (2024-07-24 09:31:28)
6,16
	-Henriette</t>
        </r>
      </text>
    </comment>
    <comment ref="G7" authorId="0" shapeId="0" xr:uid="{00000000-0006-0000-0300-00004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ID#AAABSYiI6-Y
    (2024-07-24 09:31:28)
21
	-Henriette</t>
        </r>
      </text>
    </comment>
    <comment ref="H7" authorId="0" shapeId="0" xr:uid="{00000000-0006-0000-0300-00003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ID#AAABSYiI7Ks
    (2024-07-24 09:31:28)
18,21
	-Henriette</t>
        </r>
      </text>
    </comment>
    <comment ref="I7" authorId="0" shapeId="0" xr:uid="{00000000-0006-0000-0300-00003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ID#AAABSYiI7J8
    (2024-07-24 09:31:28)
5-13
	-Henriette</t>
        </r>
      </text>
    </comment>
    <comment ref="K7" authorId="0" shapeId="0" xr:uid="{00000000-0006-0000-0300-00003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ID#AAABSYiI7I8
    (2024-07-24 09:31:28)
6
	-Marti Csillag</t>
        </r>
      </text>
    </comment>
    <comment ref="L7" authorId="0" shapeId="0" xr:uid="{00000000-0006-0000-0300-00005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ID#AAABSYiI64Q
    (2024-07-24 09:31:28)
4
	-Marti Csillag</t>
        </r>
      </text>
    </comment>
    <comment ref="M7" authorId="0" shapeId="0" xr:uid="{00000000-0006-0000-0300-00002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ID#AAABSYiI7RY
    (2024-07-24 09:31:28)
19,26
	-Marti Csillag</t>
        </r>
      </text>
    </comment>
    <comment ref="N7" authorId="0" shapeId="0" xr:uid="{00000000-0006-0000-0300-00001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ID#AAABSYiI7YQ
    (2024-07-24 09:31:28)
december: 23,27-31
Január:3-7
	-Marti Csillag</t>
        </r>
      </text>
    </comment>
    <comment ref="C8" authorId="0" shapeId="0" xr:uid="{00000000-0006-0000-0300-00002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ID#AAABSYiI7QY
    (2024-07-24 09:31:28)
22
	-Henriette</t>
        </r>
      </text>
    </comment>
    <comment ref="E8" authorId="0" shapeId="0" xr:uid="{00000000-0006-0000-0300-00002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ID#AAABSYiI7Ro
    (2024-07-24 09:31:28)
12
	-Henriette</t>
        </r>
      </text>
    </comment>
    <comment ref="F8" authorId="0" shapeId="0" xr:uid="{00000000-0006-0000-0300-00001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ID#AAABSYiI7X8
    (2024-07-24 09:31:28)
9
	-Henriette</t>
        </r>
      </text>
    </comment>
    <comment ref="H8" authorId="0" shapeId="0" xr:uid="{00000000-0006-0000-0300-00000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ID#AAABSYiI7fw
    (2024-07-24 09:31:28)
24-25
	-Henriette</t>
        </r>
      </text>
    </comment>
    <comment ref="I8" authorId="0" shapeId="0" xr:uid="{00000000-0006-0000-0300-00005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ID#AAABSYiI65o
    (2024-07-24 09:31:28)
29-30
	-Lenovo</t>
        </r>
      </text>
    </comment>
    <comment ref="K8" authorId="0" shapeId="0" xr:uid="{00000000-0006-0000-0300-00004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ID#AAABSYiI7AA
    (2024-07-24 09:31:28)
2,24
	-Marti Csillag</t>
        </r>
      </text>
    </comment>
    <comment ref="M8" authorId="0" shapeId="0" xr:uid="{00000000-0006-0000-0300-00004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ID#AAABSYiI68w
    (2024-07-24 09:31:28)
25-26
	-Marti Csillag</t>
        </r>
      </text>
    </comment>
    <comment ref="N8" authorId="0" shapeId="0" xr:uid="{00000000-0006-0000-0300-00000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ID#AAABSYiI7cs
    (2024-07-24 09:31:28)
december: 10,23,27-31
Január:3-7
	-Marti Csillag</t>
        </r>
      </text>
    </comment>
    <comment ref="C9" authorId="0" shapeId="0" xr:uid="{00000000-0006-0000-0300-00003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ID#AAABSYiI7Dg
    (2024-07-24 09:31:28)
8
	-Henriette</t>
        </r>
      </text>
    </comment>
    <comment ref="E9" authorId="0" shapeId="0" xr:uid="{00000000-0006-0000-0300-00005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ID#AAABSYiI6y0
    (2024-07-24 09:31:28)
12,16,31
	-Henriette</t>
        </r>
      </text>
    </comment>
    <comment ref="F9" authorId="0" shapeId="0" xr:uid="{00000000-0006-0000-0300-00001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ID#AAABSYiI7VI
    (2024-07-24 09:31:28)
1,6
	-Henriette</t>
        </r>
      </text>
    </comment>
    <comment ref="G9" authorId="0" shapeId="0" xr:uid="{00000000-0006-0000-0300-00005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ID#AAABSYiI67A
    (2024-07-24 09:31:28)
21
	-Henriette</t>
        </r>
      </text>
    </comment>
    <comment ref="H9" authorId="0" shapeId="0" xr:uid="{00000000-0006-0000-0300-00004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ID#AAABSYiI67c
    (2024-07-24 09:31:28)
14-18
	-Henriette</t>
        </r>
      </text>
    </comment>
    <comment ref="I9" authorId="0" shapeId="0" xr:uid="{00000000-0006-0000-0300-00005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ID#AAABSYiI65A
    (2024-07-24 09:31:28)
23, 30
	-Lenovo</t>
        </r>
      </text>
    </comment>
    <comment ref="K9" authorId="0" shapeId="0" xr:uid="{00000000-0006-0000-0300-00002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ID#AAABSYiI7Ok
    (2024-07-24 09:31:28)
9,10
	-Marti Csillag</t>
        </r>
      </text>
    </comment>
    <comment ref="L9" authorId="0" shapeId="0" xr:uid="{00000000-0006-0000-0300-00003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ID#AAABSYiI7KE
    (2024-07-24 09:31:28)
25
	-Marti Csillag</t>
        </r>
      </text>
    </comment>
    <comment ref="M9" authorId="0" shapeId="0" xr:uid="{00000000-0006-0000-0300-00001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ID#AAABSYiI7ZM
    (2024-07-24 09:31:28)
25-26
	-Marti Csillag</t>
        </r>
      </text>
    </comment>
    <comment ref="N9" authorId="0" shapeId="0" xr:uid="{00000000-0006-0000-0300-00002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ID#AAABSYiI7TM
    (2024-07-24 09:31:28)
december: 20-23, 27-30
Január: 3-4
	-Marti Csillag</t>
        </r>
      </text>
    </comment>
    <comment ref="C10" authorId="0" shapeId="0" xr:uid="{00000000-0006-0000-0300-00001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ID#AAABSYiI7WM
    (2024-07-24 09:31:28)
4, 26
	-Henriette</t>
        </r>
      </text>
    </comment>
    <comment ref="D10" authorId="0" shapeId="0" xr:uid="{00000000-0006-0000-0300-00001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ID#AAABSYiI7Y4
    (2024-07-24 09:31:28)
19
	-Henriette</t>
        </r>
      </text>
    </comment>
    <comment ref="E10" authorId="0" shapeId="0" xr:uid="{00000000-0006-0000-0300-00003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ID#AAABSYiI7BQ
    (2024-07-24 09:31:28)
5
	-Henriette</t>
        </r>
      </text>
    </comment>
    <comment ref="F10" authorId="0" shapeId="0" xr:uid="{00000000-0006-0000-0300-00004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ID#AAABSYiI69w
    (2024-07-24 09:31:28)
12,26
	-Henriette</t>
        </r>
      </text>
    </comment>
    <comment ref="C11" authorId="0" shapeId="0" xr:uid="{00000000-0006-0000-0300-00002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ID#AAABSYiI7Q4
    (2024-07-24 09:31:28)
4, 18
	-Henriette</t>
        </r>
      </text>
    </comment>
    <comment ref="D11" authorId="0" shapeId="0" xr:uid="{00000000-0006-0000-0300-00005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ID#AAABSYiI66w
    (2024-07-24 09:31:28)
22
	-Henriette</t>
        </r>
      </text>
    </comment>
    <comment ref="E11" authorId="0" shapeId="0" xr:uid="{00000000-0006-0000-0300-00002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ID#AAABSYiI7Lg
    (2024-07-24 09:31:28)
5,12
	-Henriette</t>
        </r>
      </text>
    </comment>
    <comment ref="F11" authorId="0" shapeId="0" xr:uid="{00000000-0006-0000-0300-00002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ID#AAABSYiI7SM
    (2024-07-24 09:31:28)
13,26
	-Henriette</t>
        </r>
      </text>
    </comment>
    <comment ref="H11" authorId="0" shapeId="0" xr:uid="{00000000-0006-0000-0300-00005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ID#AAABSYiI650
    (2024-07-24 09:31:28)
21-25
	-Henriette</t>
        </r>
      </text>
    </comment>
    <comment ref="I11" authorId="0" shapeId="0" xr:uid="{00000000-0006-0000-0300-00005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ID#AAABSYiI6zw
    (2024-07-24 09:31:28)
9,22-23
	-Lenovo</t>
        </r>
      </text>
    </comment>
    <comment ref="K11" authorId="0" shapeId="0" xr:uid="{00000000-0006-0000-0300-00003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ID#AAABSYiI7Fw
    (2024-07-24 09:31:28)
16
	-Marti Csillag</t>
        </r>
      </text>
    </comment>
    <comment ref="L11" authorId="0" shapeId="0" xr:uid="{00000000-0006-0000-0300-00001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ID#AAABSYiI7bc
    (2024-07-24 09:31:28)
4-8
	-Marti Csillag</t>
        </r>
      </text>
    </comment>
    <comment ref="M11" authorId="0" shapeId="0" xr:uid="{00000000-0006-0000-0300-00003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ID#AAABSYiI7GY
    (2024-07-24 09:31:28)
18
	-Marti Csillag</t>
        </r>
      </text>
    </comment>
    <comment ref="N11" authorId="0" shapeId="0" xr:uid="{00000000-0006-0000-0300-00004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ID#AAABSYiI68o
    (2024-07-24 09:31:28)
december: 20-23, 27-28,30
Január: 3-4
	-Marti Csillag</t>
        </r>
      </text>
    </comment>
    <comment ref="K13" authorId="0" shapeId="0" xr:uid="{00000000-0006-0000-0300-00001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ID#AAABSYiI7ZU
    (2024-07-24 09:31:28)
14
	-Marti Csillag</t>
        </r>
      </text>
    </comment>
    <comment ref="N13" authorId="0" shapeId="0" xr:uid="{00000000-0006-0000-0300-00003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ID#AAABSYiI7Ac
    (2024-07-24 09:31:28)
december: 13-14, 20, 22, 30
Január: 5-7
	-Marti Csillag</t>
        </r>
      </text>
    </comment>
    <comment ref="J14" authorId="0" shapeId="0" xr:uid="{00000000-0006-0000-0300-00002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ID#AAABSYiI7Qo
    (2024-07-24 09:31:28)
08.10
	-Lenovo</t>
        </r>
      </text>
    </comment>
    <comment ref="C18" authorId="0" shapeId="0" xr:uid="{00000000-0006-0000-0300-00004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ID#AAABSYiI6-k
    (2024-07-24 09:31:28)
8
	-Henriette</t>
        </r>
      </text>
    </comment>
    <comment ref="E18" authorId="0" shapeId="0" xr:uid="{00000000-0006-0000-0300-00001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ID#AAABSYiI7YI
    (2024-07-24 09:31:28)
11-12
	-Henriette</t>
        </r>
      </text>
    </comment>
    <comment ref="F18" authorId="0" shapeId="0" xr:uid="{00000000-0006-0000-0300-00003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ID#AAABSYiI7E8
    (2024-07-24 09:31:28)
1,6,16
	-Henriette</t>
        </r>
      </text>
    </comment>
    <comment ref="G18" authorId="0" shapeId="0" xr:uid="{00000000-0006-0000-0300-00004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ID#AAABSYiI690
    (2024-07-24 09:31:28)
21
	-Henriette</t>
        </r>
      </text>
    </comment>
    <comment ref="H18" authorId="0" shapeId="0" xr:uid="{00000000-0006-0000-0300-00005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ID#AAABSYiI6z8
    (2024-07-24 09:31:28)
4,7,18,21
	-Henriette</t>
        </r>
      </text>
    </comment>
    <comment ref="I18" authorId="0" shapeId="0" xr:uid="{00000000-0006-0000-0300-00000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ID#AAABSYiI7jY
    (2024-07-24 09:31:28)
5-13
	-Henriette</t>
        </r>
      </text>
    </comment>
    <comment ref="K18" authorId="0" shapeId="0" xr:uid="{00000000-0006-0000-0300-00002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ID#AAABSYiI7Sk
    (2024-07-24 09:31:28)
6
	-Marti Csillag</t>
        </r>
      </text>
    </comment>
    <comment ref="L18" authorId="0" shapeId="0" xr:uid="{00000000-0006-0000-0300-00003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ID#AAABSYiI7Bw
    (2024-07-24 09:31:28)
4
	-Marti Csillag</t>
        </r>
      </text>
    </comment>
    <comment ref="M18" authorId="0" shapeId="0" xr:uid="{00000000-0006-0000-0300-00000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ID#AAABSYiI7c0
    (2024-07-24 09:31:28)
18-19,26
	-Marti Csillag</t>
        </r>
      </text>
    </comment>
    <comment ref="N18" authorId="0" shapeId="0" xr:uid="{00000000-0006-0000-0300-00002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ID#AAABSYiI7MQ
    (2024-07-24 09:31:28)
december: 22-23,27-31
Január:3-7
	-Marti Csillag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/TfqjLAKXOnoQv4CSb29HYlhvsA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500-00005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ID#AAABSYiI60g
    (2024-07-24 09:31:28)
2,3,23,24
	-Henriette</t>
        </r>
      </text>
    </comment>
    <comment ref="D2" authorId="0" shapeId="0" xr:uid="{00000000-0006-0000-0500-00000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ID#AAABSYiI7dg
    (2024-07-24 09:31:28)
3, 17
	-Henriette</t>
        </r>
      </text>
    </comment>
    <comment ref="E2" authorId="0" shapeId="0" xr:uid="{00000000-0006-0000-0500-00003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ID#AAABSYiI7DM
    (2024-07-24 09:31:28)
16-18, 23-24
	-Henriette</t>
        </r>
      </text>
    </comment>
    <comment ref="F2" authorId="0" shapeId="0" xr:uid="{00000000-0006-0000-0500-00000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ID#AAABSYiI7dQ
    (2024-07-24 09:31:28)
3. 17. 24. 30.
	-Henriette</t>
        </r>
      </text>
    </comment>
    <comment ref="G2" authorId="0" shapeId="0" xr:uid="{00000000-0006-0000-0500-00004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ID#AAABSYiI7BA
    (2024-07-24 09:31:28)
15,25
	-Henriette</t>
        </r>
      </text>
    </comment>
    <comment ref="H2" authorId="0" shapeId="0" xr:uid="{00000000-0006-0000-0500-00005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ID#AAABSYiI63U
    (2024-07-24 09:31:28)
22-23
	-Henriette</t>
        </r>
      </text>
    </comment>
    <comment ref="K2" authorId="0" shapeId="0" xr:uid="{00000000-0006-0000-0500-00001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ID#AAABSYiI7Xg
    (2024-07-24 09:31:28)
14
	-Henriette</t>
        </r>
      </text>
    </comment>
    <comment ref="L2" authorId="0" shapeId="0" xr:uid="{00000000-0006-0000-0500-00004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ID#AAABSYiI65Y
    (2024-07-24 09:31:28)
26-27
	-Henriette</t>
        </r>
      </text>
    </comment>
    <comment ref="M2" authorId="0" shapeId="0" xr:uid="{00000000-0006-0000-0500-00004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ID#AAABSYiI640
    (2024-07-24 09:31:28)
6,19
	-Henriette</t>
        </r>
      </text>
    </comment>
    <comment ref="C3" authorId="0" shapeId="0" xr:uid="{00000000-0006-0000-0500-00004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ID#AAABSYiI678
    (2024-07-24 09:31:28)
2,3,23,24
	-Henriette</t>
        </r>
      </text>
    </comment>
    <comment ref="D3" authorId="0" shapeId="0" xr:uid="{00000000-0006-0000-0500-00000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ID#AAABSYiI7hc
    (2024-07-24 09:31:28)
3, 17
	-Henriette</t>
        </r>
      </text>
    </comment>
    <comment ref="E3" authorId="0" shapeId="0" xr:uid="{00000000-0006-0000-0500-00003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ID#AAABSYiI7DI
    (2024-07-24 09:31:28)
16-18, 23-24
	-Henriette</t>
        </r>
      </text>
    </comment>
    <comment ref="F3" authorId="0" shapeId="0" xr:uid="{00000000-0006-0000-0500-00003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ID#AAABSYiI7CU
    (2024-07-24 09:31:28)
3. 17. 24.
	-Henriette</t>
        </r>
      </text>
    </comment>
    <comment ref="G3" authorId="0" shapeId="0" xr:uid="{00000000-0006-0000-0500-00003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ID#AAABSYiI7Jc
    (2024-07-24 09:31:28)
15,25
	-Henriette</t>
        </r>
      </text>
    </comment>
    <comment ref="H3" authorId="0" shapeId="0" xr:uid="{00000000-0006-0000-0500-00002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ID#AAABSYiI7Ko
    (2024-07-24 09:31:28)
22-23
	-Henriette</t>
        </r>
      </text>
    </comment>
    <comment ref="K3" authorId="0" shapeId="0" xr:uid="{00000000-0006-0000-0500-00004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ID#AAABSYiI638
    (2024-07-24 09:31:28)
18
	-Henriette</t>
        </r>
      </text>
    </comment>
    <comment ref="L3" authorId="0" shapeId="0" xr:uid="{00000000-0006-0000-0500-00001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ID#AAABSYiI7Wk
    (2024-07-24 09:31:28)
26-27
	-Henriette</t>
        </r>
      </text>
    </comment>
    <comment ref="M3" authorId="0" shapeId="0" xr:uid="{00000000-0006-0000-0500-00004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ID#AAABSYiI6-w
    (2024-07-24 09:31:28)
19
	-Henriette</t>
        </r>
      </text>
    </comment>
    <comment ref="C4" authorId="0" shapeId="0" xr:uid="{00000000-0006-0000-0500-00001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ID#AAABSYiI7VQ
    (2024-07-24 09:31:28)
2,3,6,7,8
	-Henriette</t>
        </r>
      </text>
    </comment>
    <comment ref="D4" authorId="0" shapeId="0" xr:uid="{00000000-0006-0000-0500-00000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ID#AAABSYiI7jw
    (2024-07-24 09:31:28)
3, 17
	-Henriette</t>
        </r>
      </text>
    </comment>
    <comment ref="E4" authorId="0" shapeId="0" xr:uid="{00000000-0006-0000-0500-00000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ID#AAABSYiI7kE
    (2024-07-24 09:31:28)
16-20
	-Henriette</t>
        </r>
      </text>
    </comment>
    <comment ref="F4" authorId="0" shapeId="0" xr:uid="{00000000-0006-0000-0500-00003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ID#AAABSYiI7Hg
    (2024-07-24 09:31:28)
3. 6. 17. 20. 24. 30.
	-Henriette</t>
        </r>
      </text>
    </comment>
    <comment ref="G4" authorId="0" shapeId="0" xr:uid="{00000000-0006-0000-0500-00000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ID#AAABSYiI7gI
    (2024-07-24 09:31:28)
8, 22
	-Henriette</t>
        </r>
      </text>
    </comment>
    <comment ref="H4" authorId="0" shapeId="0" xr:uid="{00000000-0006-0000-0500-00004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ID#AAABSYiI680
    (2024-07-24 09:31:28)
12,19
	-Henriette</t>
        </r>
      </text>
    </comment>
    <comment ref="I4" authorId="0" shapeId="0" xr:uid="{00000000-0006-0000-0500-00001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ID#AAABSYiI7aE
    (2024-07-24 09:31:28)
31
	-Henriette</t>
        </r>
      </text>
    </comment>
    <comment ref="K4" authorId="0" shapeId="0" xr:uid="{00000000-0006-0000-0500-00002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ID#AAABSYiI7L8
    (2024-07-24 09:31:28)
25
	-Henriette</t>
        </r>
      </text>
    </comment>
    <comment ref="L4" authorId="0" shapeId="0" xr:uid="{00000000-0006-0000-0500-00001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ID#AAABSYiI7V0
    (2024-07-24 09:31:28)
2,9
	-Henriette</t>
        </r>
      </text>
    </comment>
    <comment ref="M4" authorId="0" shapeId="0" xr:uid="{00000000-0006-0000-0500-00002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ID#AAABSYiI7N8
    (2024-07-24 09:31:28)
6,13
	-Henriette</t>
        </r>
      </text>
    </comment>
    <comment ref="C5" authorId="0" shapeId="0" xr:uid="{00000000-0006-0000-0500-00003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ID#AAABSYiI7HU
    (2024-07-24 09:31:28)
2,24
	-Henriette</t>
        </r>
      </text>
    </comment>
    <comment ref="E5" authorId="0" shapeId="0" xr:uid="{00000000-0006-0000-0500-00004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ID#AAABSYiI65g
    (2024-07-24 09:31:28)
18, 26, 27
	-Henriette</t>
        </r>
      </text>
    </comment>
    <comment ref="F5" authorId="0" shapeId="0" xr:uid="{00000000-0006-0000-0500-00003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ID#AAABSYiI7Is
    (2024-07-24 09:31:28)
3. 17. 24.
	-Henriette</t>
        </r>
      </text>
    </comment>
    <comment ref="G5" authorId="0" shapeId="0" xr:uid="{00000000-0006-0000-0500-00004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ID#AAABSYiI660
    (2024-07-24 09:31:28)
22, 29
	-Henriette</t>
        </r>
      </text>
    </comment>
    <comment ref="H5" authorId="0" shapeId="0" xr:uid="{00000000-0006-0000-0500-00002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ID#AAABSYiI7Ng
    (2024-07-24 09:31:28)
26
	-Henriette</t>
        </r>
      </text>
    </comment>
    <comment ref="I5" authorId="0" shapeId="0" xr:uid="{00000000-0006-0000-0500-00001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ID#AAABSYiI7R8
    (2024-07-24 09:31:28)
23-24
	-Henriette</t>
        </r>
      </text>
    </comment>
    <comment ref="K5" authorId="0" shapeId="0" xr:uid="{00000000-0006-0000-0500-00003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ID#AAABSYiI7Dc
    (2024-07-24 09:31:28)
14
	-Henriette</t>
        </r>
      </text>
    </comment>
    <comment ref="L5" authorId="0" shapeId="0" xr:uid="{00000000-0006-0000-0500-00002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ID#AAABSYiI7P4
    (2024-07-24 09:31:28)
21
	-Henriette</t>
        </r>
      </text>
    </comment>
    <comment ref="M5" authorId="0" shapeId="0" xr:uid="{00000000-0006-0000-0500-00003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ID#AAABSYiI7B8
    (2024-07-24 09:31:28)
16
	-Henriette</t>
        </r>
      </text>
    </comment>
    <comment ref="C6" authorId="0" shapeId="0" xr:uid="{00000000-0006-0000-0500-00001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ID#AAABSYiI7TY
    (2024-07-24 09:31:28)
2,3,6
	-Henriette</t>
        </r>
      </text>
    </comment>
    <comment ref="D6" authorId="0" shapeId="0" xr:uid="{00000000-0006-0000-0500-00000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ID#AAABSYiI7g0
    (2024-07-24 09:31:28)
26, 27
	-Henriette</t>
        </r>
      </text>
    </comment>
    <comment ref="E6" authorId="0" shapeId="0" xr:uid="{00000000-0006-0000-0500-00002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ID#AAABSYiI7Rk
    (2024-07-24 09:31:28)
16-20
	-Henriette</t>
        </r>
      </text>
    </comment>
    <comment ref="F6" authorId="0" shapeId="0" xr:uid="{00000000-0006-0000-0500-00000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ID#AAABSYiI7cU
    (2024-07-24 09:31:28)
3. 13.
	-Henriette</t>
        </r>
      </text>
    </comment>
    <comment ref="G6" authorId="0" shapeId="0" xr:uid="{00000000-0006-0000-0500-00001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ID#AAABSYiI7Zs
    (2024-07-24 09:31:28)
28
	-Henriette</t>
        </r>
      </text>
    </comment>
    <comment ref="L6" authorId="0" shapeId="0" xr:uid="{00000000-0006-0000-0500-00000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ID#AAABSYiI7gg
    (2024-07-24 09:31:28)
7, 12
	-Henriette</t>
        </r>
      </text>
    </comment>
    <comment ref="M6" authorId="0" shapeId="0" xr:uid="{00000000-0006-0000-0500-00001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ID#AAABSYiI7VE
    (2024-07-24 09:31:28)
6
	-Henriette</t>
        </r>
      </text>
    </comment>
    <comment ref="C7" authorId="0" shapeId="0" xr:uid="{00000000-0006-0000-0500-00002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ID#AAABSYiI7N0
    (2024-07-24 09:31:28)
2,3,6
	-Henriette</t>
        </r>
      </text>
    </comment>
    <comment ref="D7" authorId="0" shapeId="0" xr:uid="{00000000-0006-0000-0500-00003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ID#AAABSYiI7CM
    (2024-07-24 09:31:28)
10, 17
	-Henriette</t>
        </r>
      </text>
    </comment>
    <comment ref="E7" authorId="0" shapeId="0" xr:uid="{00000000-0006-0000-0500-00002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ID#AAABSYiI7K4
    (2024-07-24 09:31:28)
4, 16, 20, 23, 27, 30
	-Henriette</t>
        </r>
      </text>
    </comment>
    <comment ref="F7" authorId="0" shapeId="0" xr:uid="{00000000-0006-0000-0500-00001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ID#AAABSYiI7aY
    (2024-07-24 09:31:28)
6. 13. 24. 30.
	-Henriette</t>
        </r>
      </text>
    </comment>
    <comment ref="G7" authorId="0" shapeId="0" xr:uid="{00000000-0006-0000-0500-00003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ID#AAABSYiI7FE
    (2024-07-24 09:31:28)
22, 26
	-Henriette</t>
        </r>
      </text>
    </comment>
    <comment ref="H7" authorId="0" shapeId="0" xr:uid="{00000000-0006-0000-0500-00001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ID#AAABSYiI7To
    (2024-07-24 09:31:28)
2
	-Henriette</t>
        </r>
      </text>
    </comment>
    <comment ref="I7" authorId="0" shapeId="0" xr:uid="{00000000-0006-0000-0500-00004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ID#AAABSYiI7AI
    (2024-07-24 09:31:28)
6.
	-Henriette</t>
        </r>
      </text>
    </comment>
    <comment ref="K7" authorId="0" shapeId="0" xr:uid="{00000000-0006-0000-0500-00002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ID#AAABSYiI7QQ
    (2024-07-24 09:31:28)
11
	-Henriette</t>
        </r>
      </text>
    </comment>
    <comment ref="L7" authorId="0" shapeId="0" xr:uid="{00000000-0006-0000-0500-00001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ID#AAABSYiI7S4
    (2024-07-24 09:31:28)
5, 12, 19
	-Henriette</t>
        </r>
      </text>
    </comment>
    <comment ref="M7" authorId="0" shapeId="0" xr:uid="{00000000-0006-0000-0500-00000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ID#AAABSYiI7i8
    (2024-07-24 09:31:28)
16, 23
	-Henriette</t>
        </r>
      </text>
    </comment>
    <comment ref="C8" authorId="0" shapeId="0" xr:uid="{00000000-0006-0000-0500-00002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ID#AAABSYiI7PQ
    (2024-07-24 09:31:28)
2,3,6
	-Henriette</t>
        </r>
      </text>
    </comment>
    <comment ref="E8" authorId="0" shapeId="0" xr:uid="{00000000-0006-0000-0500-00001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ID#AAABSYiI7Xs
    (2024-07-24 09:31:28)
9, 18, 19, 26
	-Henriette</t>
        </r>
      </text>
    </comment>
    <comment ref="F8" authorId="0" shapeId="0" xr:uid="{00000000-0006-0000-0500-00000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ID#AAABSYiI7j0
    (2024-07-24 09:31:28)
02. 09. 13.
	-Henriette</t>
        </r>
      </text>
    </comment>
    <comment ref="G8" authorId="0" shapeId="0" xr:uid="{00000000-0006-0000-0500-00004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ID#AAABSYiI67E
    (2024-07-24 09:31:28)
27
	-Henriette</t>
        </r>
      </text>
    </comment>
    <comment ref="H8" authorId="0" shapeId="0" xr:uid="{00000000-0006-0000-0500-00003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ID#AAABSYiI7IU
    (2024-07-24 09:31:28)
24
	-Henriette</t>
        </r>
      </text>
    </comment>
    <comment ref="K8" authorId="0" shapeId="0" xr:uid="{00000000-0006-0000-0500-00003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ID#AAABSYiI7BM
    (2024-07-24 09:31:28)
7
	-Henriette</t>
        </r>
      </text>
    </comment>
    <comment ref="L8" authorId="0" shapeId="0" xr:uid="{00000000-0006-0000-0500-00005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ID#AAABSYiI61U
    (2024-07-24 09:31:28)
1-7
	-Henriette</t>
        </r>
      </text>
    </comment>
    <comment ref="C9" authorId="0" shapeId="0" xr:uid="{00000000-0006-0000-0500-00003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ID#AAABSYiI7GE
    (2024-07-24 09:31:28)
2,3,6
	-Henriette</t>
        </r>
      </text>
    </comment>
    <comment ref="E9" authorId="0" shapeId="0" xr:uid="{00000000-0006-0000-0500-00002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ID#AAABSYiI7NQ
    (2024-07-24 09:31:28)
19-20
	-Henriette</t>
        </r>
      </text>
    </comment>
    <comment ref="F9" authorId="0" shapeId="0" xr:uid="{00000000-0006-0000-0500-00002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ID#AAABSYiI7L4
    (2024-07-24 09:31:28)
3. 17. 24.
	-Henriette</t>
        </r>
      </text>
    </comment>
    <comment ref="G9" authorId="0" shapeId="0" xr:uid="{00000000-0006-0000-0500-00001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ID#AAABSYiI7XY
    (2024-07-24 09:31:28)
4,11,22,27
	-Henriette</t>
        </r>
      </text>
    </comment>
    <comment ref="H9" authorId="0" shapeId="0" xr:uid="{00000000-0006-0000-0500-00002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ID#AAABSYiI7Kw
    (2024-07-24 09:31:28)
2
	-Henriette</t>
        </r>
      </text>
    </comment>
    <comment ref="I9" authorId="0" shapeId="0" xr:uid="{00000000-0006-0000-0500-00005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ID#AAABSYiI61s
    (2024-07-24 09:31:28)
3,30
	-Henriette</t>
        </r>
      </text>
    </comment>
    <comment ref="K9" authorId="0" shapeId="0" xr:uid="{00000000-0006-0000-0500-00000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ID#AAABSYiI7iQ
    (2024-07-24 09:31:28)
22
	-Henriette</t>
        </r>
      </text>
    </comment>
    <comment ref="L9" authorId="0" shapeId="0" xr:uid="{00000000-0006-0000-0500-00004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ID#AAABSYiI65M
    (2024-07-24 09:31:28)
8, 27,28
	-Henriette</t>
        </r>
      </text>
    </comment>
    <comment ref="M9" authorId="0" shapeId="0" xr:uid="{00000000-0006-0000-0500-00003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ID#AAABSYiI7E0
    (2024-07-24 09:31:28)
10, 19, 27
	-Henriette</t>
        </r>
      </text>
    </comment>
    <comment ref="E10" authorId="0" shapeId="0" xr:uid="{00000000-0006-0000-0500-00003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ID#AAABSYiI7EI
    (2024-07-24 09:31:28)
19, 20, 23
	-Henriette</t>
        </r>
      </text>
    </comment>
    <comment ref="F10" authorId="0" shapeId="0" xr:uid="{00000000-0006-0000-0500-00001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ID#AAABSYiI7WY
    (2024-07-24 09:31:28)
3. 24.
	-Henriette</t>
        </r>
      </text>
    </comment>
    <comment ref="G10" authorId="0" shapeId="0" xr:uid="{00000000-0006-0000-0500-00002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ID#AAABSYiI7KQ
    (2024-07-24 09:31:28)
4,25
	-Henriette</t>
        </r>
      </text>
    </comment>
    <comment ref="I10" authorId="0" shapeId="0" xr:uid="{00000000-0006-0000-0500-00000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ID#AAABSYiI7jE
    (2024-07-24 09:31:28)
27-28
	-Henriette</t>
        </r>
      </text>
    </comment>
    <comment ref="L10" authorId="0" shapeId="0" xr:uid="{00000000-0006-0000-0500-00002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ID#AAABSYiI7P0
    (2024-07-24 09:31:28)
2,7,9,12,19
	-Henriette</t>
        </r>
      </text>
    </comment>
    <comment ref="C15" authorId="0" shapeId="0" xr:uid="{00000000-0006-0000-0500-00000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ID#AAABSYiI7ds
    (2024-07-24 09:31:28)
2,3,6,7,8
	-Henriette</t>
        </r>
      </text>
    </comment>
    <comment ref="D15" authorId="0" shapeId="0" xr:uid="{00000000-0006-0000-0500-00004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ID#AAABSYiI69M
    (2024-07-24 09:31:28)
7, 17
	-Henriette</t>
        </r>
      </text>
    </comment>
    <comment ref="E15" authorId="0" shapeId="0" xr:uid="{00000000-0006-0000-0500-00004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ID#AAABSYiI7As
    (2024-07-24 09:31:28)
23-27
	-Henriette</t>
        </r>
      </text>
    </comment>
    <comment ref="F15" authorId="0" shapeId="0" xr:uid="{00000000-0006-0000-0500-00002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ID#AAABSYiI7Jo
    (2024-07-24 09:31:28)
3. 10. 17. 24. 30
	-Henriette</t>
        </r>
      </text>
    </comment>
    <comment ref="G15" authorId="0" shapeId="0" xr:uid="{00000000-0006-0000-0500-00000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ID#AAABSYiI7eM
    (2024-07-24 09:31:28)
8,15,21,22,25
	-Henriette</t>
        </r>
      </text>
    </comment>
    <comment ref="H15" authorId="0" shapeId="0" xr:uid="{00000000-0006-0000-0500-00004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ID#AAABSYiI65c
Henriette    (2024-07-24 09:31:28)
-Henriette</t>
        </r>
      </text>
    </comment>
    <comment ref="I15" authorId="0" shapeId="0" xr:uid="{00000000-0006-0000-0500-00005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ID#AAABSYiI62c
    (2024-07-24 09:31:28)
24
	-Henriette</t>
        </r>
      </text>
    </comment>
    <comment ref="J15" authorId="0" shapeId="0" xr:uid="{00000000-0006-0000-0500-00005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ID#AAABSYiI6yo
    (2024-07-24 09:31:28)
6-10
	-Henriette</t>
        </r>
      </text>
    </comment>
    <comment ref="L15" authorId="0" shapeId="0" xr:uid="{00000000-0006-0000-0500-00001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ID#AAABSYiI7bg
    (2024-07-24 09:31:28)
19-22
	-Henriette</t>
        </r>
      </text>
    </comment>
    <comment ref="M15" authorId="0" shapeId="0" xr:uid="{00000000-0006-0000-0500-00004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ID#AAABSYiI6-c
    (2024-07-24 09:31:28)
6
	-Henriette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wHJ0Ve13/4keDz7HMGjnq5l8+LQ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600-00003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ID#AAABSYiI7C8
    (2024-07-24 09:31:28)
2-4
	-Mariann</t>
        </r>
      </text>
    </comment>
    <comment ref="F2" authorId="0" shapeId="0" xr:uid="{00000000-0006-0000-0600-00003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ID#AAABSYiI7JI
    (2024-07-24 09:31:28)
18., 26.
	-Henriette</t>
        </r>
      </text>
    </comment>
    <comment ref="H2" authorId="0" shapeId="0" xr:uid="{00000000-0006-0000-0600-00003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ID#AAABSYiI7IM
    (2024-07-24 09:31:28)
17, 21, 24
	-Henriette</t>
        </r>
      </text>
    </comment>
    <comment ref="I2" authorId="0" shapeId="0" xr:uid="{00000000-0006-0000-0600-00002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ID#AAABSYiI7Ls
    (2024-07-24 09:31:28)
19,22,23
	-Henriette</t>
        </r>
      </text>
    </comment>
    <comment ref="J2" authorId="0" shapeId="0" xr:uid="{00000000-0006-0000-0600-00001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ID#AAABSYiI7Yw
    (2024-07-24 09:31:28)
21-28
	-Henriette</t>
        </r>
      </text>
    </comment>
    <comment ref="K2" authorId="0" shapeId="0" xr:uid="{00000000-0006-0000-0600-00000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ID#AAABSYiI7jo
    (2024-07-24 09:31:28)
13
	-Henriette</t>
        </r>
      </text>
    </comment>
    <comment ref="L2" authorId="0" shapeId="0" xr:uid="{00000000-0006-0000-0600-00004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ID#AAABSYiI65I
    (2024-07-24 09:31:28)
28-30
	-Henriette</t>
        </r>
      </text>
    </comment>
    <comment ref="M2" authorId="0" shapeId="0" xr:uid="{00000000-0006-0000-0600-00001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ID#AAABSYiI7YM
    (2024-07-24 09:31:28)
4-5, 15,18,
	-Henriette</t>
        </r>
      </text>
    </comment>
    <comment ref="N2" authorId="0" shapeId="0" xr:uid="{00000000-0006-0000-0600-00001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ID#AAABSYiI7Us
    (2024-07-24 09:31:28)
16-20,23,30,31
	-Henriette</t>
        </r>
      </text>
    </comment>
    <comment ref="C3" authorId="0" shapeId="0" xr:uid="{00000000-0006-0000-0600-00000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ID#AAABSYiI7gE
    (2024-07-24 09:31:28)
2-4
	-Mariann</t>
        </r>
      </text>
    </comment>
    <comment ref="F3" authorId="0" shapeId="0" xr:uid="{00000000-0006-0000-0600-00005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ID#AAABSYiI63s
    (2024-07-24 09:31:28)
18. 26
	-Henriette</t>
        </r>
      </text>
    </comment>
    <comment ref="H3" authorId="0" shapeId="0" xr:uid="{00000000-0006-0000-0600-00002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ID#AAABSYiI7OI
    (2024-07-24 09:31:28)
17,24
	-Henriette</t>
        </r>
      </text>
    </comment>
    <comment ref="I3" authorId="0" shapeId="0" xr:uid="{00000000-0006-0000-0600-00000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ID#AAABSYiI7iY
    (2024-07-24 09:31:28)
22
	-Henriette</t>
        </r>
      </text>
    </comment>
    <comment ref="J3" authorId="0" shapeId="0" xr:uid="{00000000-0006-0000-0600-00004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ID#AAABSYiI67k
    (2024-07-24 09:31:28)
21-28
	-Henriette</t>
        </r>
      </text>
    </comment>
    <comment ref="K3" authorId="0" shapeId="0" xr:uid="{00000000-0006-0000-0600-00001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ID#AAABSYiI7Zk
    (2024-07-24 09:31:28)
13
	-Henriette</t>
        </r>
      </text>
    </comment>
    <comment ref="L3" authorId="0" shapeId="0" xr:uid="{00000000-0006-0000-0600-00005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ID#AAABSYiI61g
    (2024-07-24 09:31:28)
28-30
	-Henriette</t>
        </r>
      </text>
    </comment>
    <comment ref="M3" authorId="0" shapeId="0" xr:uid="{00000000-0006-0000-0600-00001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ID#AAABSYiI7Uo
    (2024-07-24 09:31:28)
4-5, 15,18,
	-Henriette</t>
        </r>
      </text>
    </comment>
    <comment ref="N3" authorId="0" shapeId="0" xr:uid="{00000000-0006-0000-0600-00003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ID#AAABSYiI7BI
    (2024-07-24 09:31:28)
16-20,23,30,31
	-Henriette</t>
        </r>
      </text>
    </comment>
    <comment ref="J4" authorId="0" shapeId="0" xr:uid="{00000000-0006-0000-0600-00000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ID#AAABSYiI7dw
    (2024-07-24 09:31:28)
12
	-Henriette</t>
        </r>
      </text>
    </comment>
    <comment ref="K4" authorId="0" shapeId="0" xr:uid="{00000000-0006-0000-0600-00002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ID#AAABSYiI7NA
    (2024-07-24 09:31:28)
13,16,20
	-Henriette</t>
        </r>
      </text>
    </comment>
    <comment ref="C5" authorId="0" shapeId="0" xr:uid="{00000000-0006-0000-0600-00001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ID#AAABSYiI7UY
    (2024-07-24 09:31:28)
2-3,4
	-Mariann</t>
        </r>
      </text>
    </comment>
    <comment ref="D5" authorId="0" shapeId="0" xr:uid="{00000000-0006-0000-0600-00002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ID#AAABSYiI7QE
    (2024-07-24 09:31:28)
12. 13. 22.
	-Henriette</t>
        </r>
      </text>
    </comment>
    <comment ref="E5" authorId="0" shapeId="0" xr:uid="{00000000-0006-0000-0600-00001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ID#AAABSYiI7bY
    (2024-07-24 09:31:28)
13, 28
	-Henriette</t>
        </r>
      </text>
    </comment>
    <comment ref="F5" authorId="0" shapeId="0" xr:uid="{00000000-0006-0000-0600-00002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ID#AAABSYiI7Qs
    (2024-07-24 09:31:28)
5, 11, 15, 18
	-Henriette</t>
        </r>
      </text>
    </comment>
    <comment ref="G5" authorId="0" shapeId="0" xr:uid="{00000000-0006-0000-0600-00004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ID#AAABSYiI6_U
    (2024-07-24 09:31:28)
2-3
	-Henriette</t>
        </r>
      </text>
    </comment>
    <comment ref="H5" authorId="0" shapeId="0" xr:uid="{00000000-0006-0000-0600-00004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ID#AAABSYiI69c
    (2024-07-24 09:31:28)
24
	-Henriette</t>
        </r>
      </text>
    </comment>
    <comment ref="I5" authorId="0" shapeId="0" xr:uid="{00000000-0006-0000-0600-00000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ID#AAABSYiI7iU
    (2024-07-24 09:31:28)
22., 29-30.
	-Henriette</t>
        </r>
      </text>
    </comment>
    <comment ref="J5" authorId="0" shapeId="0" xr:uid="{00000000-0006-0000-0600-00005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ID#AAABSYiI624
    (2024-07-24 09:31:28)
8-10, 21-28
	-Henriette</t>
        </r>
      </text>
    </comment>
    <comment ref="N5" authorId="0" shapeId="0" xr:uid="{00000000-0006-0000-0600-00002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ID#AAABSYiI7Q0
    (2024-07-24 09:31:28)
23, 31
	-Henriette</t>
        </r>
      </text>
    </comment>
    <comment ref="C6" authorId="0" shapeId="0" xr:uid="{00000000-0006-0000-0600-00000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ID#AAABSYiI7gY
    (2024-07-24 09:31:28)
2-4
	-Mariann</t>
        </r>
      </text>
    </comment>
    <comment ref="F6" authorId="0" shapeId="0" xr:uid="{00000000-0006-0000-0600-00003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ID#AAABSYiI7H4
    (2024-07-24 09:31:28)
15
	-Henriette</t>
        </r>
      </text>
    </comment>
    <comment ref="G6" authorId="0" shapeId="0" xr:uid="{00000000-0006-0000-0600-00004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ID#AAABSYiI6-E
    (2024-07-24 09:31:28)
8-17
	-Henriette</t>
        </r>
      </text>
    </comment>
    <comment ref="J6" authorId="0" shapeId="0" xr:uid="{00000000-0006-0000-0600-00003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ID#AAABSYiI7HE
    (2024-07-24 09:31:28)
5
	-Henriette</t>
        </r>
      </text>
    </comment>
    <comment ref="K6" authorId="0" shapeId="0" xr:uid="{00000000-0006-0000-0600-00003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ID#AAABSYiI7JA
    (2024-07-24 09:31:28)
26-30
	-Henriette</t>
        </r>
      </text>
    </comment>
    <comment ref="C7" authorId="0" shapeId="0" xr:uid="{00000000-0006-0000-0600-00001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ID#AAABSYiI7co
    (2024-07-24 09:31:28)
2-4, 25.
	-Mariann</t>
        </r>
      </text>
    </comment>
    <comment ref="D7" authorId="0" shapeId="0" xr:uid="{00000000-0006-0000-0600-00004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ID#AAABSYiI6_E
    (2024-07-24 09:31:28)
1,
	-Henriette</t>
        </r>
      </text>
    </comment>
    <comment ref="E7" authorId="0" shapeId="0" xr:uid="{00000000-0006-0000-0600-00003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ID#AAABSYiI7FQ
    (2024-07-24 09:31:28)
táppénz 25-től
	-Henriette</t>
        </r>
      </text>
    </comment>
    <comment ref="F7" authorId="0" shapeId="0" xr:uid="{00000000-0006-0000-0600-00002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ID#AAABSYiI7Qk
    (2024-07-24 09:31:28)
betegszabadság egész hónapban! 04.01-31
	-Henriette</t>
        </r>
      </text>
    </comment>
    <comment ref="C8" authorId="0" shapeId="0" xr:uid="{00000000-0006-0000-0600-00004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ID#AAABSYiI664
    (2024-07-24 09:31:28)
2-4, 11
	-Mariann</t>
        </r>
      </text>
    </comment>
    <comment ref="D8" authorId="0" shapeId="0" xr:uid="{00000000-0006-0000-0600-00000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ID#AAABSYiI7ik
    (2024-07-24 09:31:28)
22. 25.
	-Henriette</t>
        </r>
      </text>
    </comment>
    <comment ref="F8" authorId="0" shapeId="0" xr:uid="{00000000-0006-0000-0600-00003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ID#AAABSYiI7GI
Betegszabadság    (2024-07-24 09:31:28)
- gyerekápolási: 9-13
- betegség: 15-19
	-Henriette</t>
        </r>
      </text>
    </comment>
    <comment ref="G8" authorId="0" shapeId="0" xr:uid="{00000000-0006-0000-0600-00004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ID#AAABSYiI7AU
    (2024-07-24 09:31:28)
2-3, 15, 23,24,31
	-Henriette</t>
        </r>
      </text>
    </comment>
    <comment ref="H9" authorId="0" shapeId="0" xr:uid="{00000000-0006-0000-0600-00005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ID#AAABSYiI62E
    (2024-07-24 09:31:28)
17-19
	-Henriette</t>
        </r>
      </text>
    </comment>
    <comment ref="I9" authorId="0" shapeId="0" xr:uid="{00000000-0006-0000-0600-00004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ID#AAABSYiI65Q
    (2024-07-24 09:31:28)
19
	-Henriette</t>
        </r>
      </text>
    </comment>
    <comment ref="J9" authorId="0" shapeId="0" xr:uid="{00000000-0006-0000-0600-00002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ID#AAABSYiI7TQ
    (2024-07-24 09:31:28)
5-9
	-Henriette</t>
        </r>
      </text>
    </comment>
    <comment ref="K9" authorId="0" shapeId="0" xr:uid="{00000000-0006-0000-0600-00001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ID#AAABSYiI7cc
    (2024-07-24 09:31:28)
19,20
	-Henriette</t>
        </r>
      </text>
    </comment>
    <comment ref="L9" authorId="0" shapeId="0" xr:uid="{00000000-0006-0000-0600-00003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ID#AAABSYiI7FI
    (2024-07-24 09:31:28)
11, 24-25, 28
	-Henriette</t>
        </r>
      </text>
    </comment>
    <comment ref="M9" authorId="0" shapeId="0" xr:uid="{00000000-0006-0000-0600-00001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ID#AAABSYiI7Xc
    (2024-07-24 09:31:28)
4-6
	-Henriette</t>
        </r>
      </text>
    </comment>
    <comment ref="N9" authorId="0" shapeId="0" xr:uid="{00000000-0006-0000-0600-00002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ID#AAABSYiI7Tw
    (2024-07-24 09:31:28)
2,20,23,30,31,
január: 2-3
	-Henriette</t>
        </r>
      </text>
    </comment>
    <comment ref="D10" authorId="0" shapeId="0" xr:uid="{00000000-0006-0000-0600-00000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ID#AAABSYiI7d0
    (2024-07-24 09:31:28)
11.
	-Henriette</t>
        </r>
      </text>
    </comment>
    <comment ref="E10" authorId="0" shapeId="0" xr:uid="{00000000-0006-0000-0600-00000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ID#AAABSYiI7eI
    (2024-07-24 09:31:28)
4.
	-Henriette</t>
        </r>
      </text>
    </comment>
    <comment ref="H10" authorId="0" shapeId="0" xr:uid="{00000000-0006-0000-0600-00003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ID#AAABSYiI7JM
    (2024-07-24 09:31:28)
17, 24
	-Henriette</t>
        </r>
      </text>
    </comment>
    <comment ref="I10" authorId="0" shapeId="0" xr:uid="{00000000-0006-0000-0600-00000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ID#AAABSYiI7go
    (2024-07-24 09:31:28)
12,19
	-Henriette</t>
        </r>
      </text>
    </comment>
    <comment ref="C11" authorId="0" shapeId="0" xr:uid="{00000000-0006-0000-0600-00001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ID#AAABSYiI7ZI
    (2024-07-24 09:31:28)
2-4
	-Mariann</t>
        </r>
      </text>
    </comment>
    <comment ref="D11" authorId="0" shapeId="0" xr:uid="{00000000-0006-0000-0600-00005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ID#AAABSYiI620
    (2024-07-24 09:31:28)
22
	-Henriette</t>
        </r>
      </text>
    </comment>
    <comment ref="G11" authorId="0" shapeId="0" xr:uid="{00000000-0006-0000-0600-00004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ID#AAABSYiI6_k
    (2024-07-24 09:31:28)
30
	-Henriette</t>
        </r>
      </text>
    </comment>
    <comment ref="I11" authorId="0" shapeId="0" xr:uid="{00000000-0006-0000-0600-00000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ID#AAABSYiI7gc
    (2024-07-24 09:31:28)
26
	-Henriette</t>
        </r>
      </text>
    </comment>
    <comment ref="J11" authorId="0" shapeId="0" xr:uid="{00000000-0006-0000-0600-00004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ID#AAABSYiI66Y
    (2024-07-24 09:31:28)
16
	-Henriette</t>
        </r>
      </text>
    </comment>
    <comment ref="K11" authorId="0" shapeId="0" xr:uid="{00000000-0006-0000-0600-00002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ID#AAABSYiI7S0
    (2024-07-24 09:31:28)
20,23
	-Henriette</t>
        </r>
      </text>
    </comment>
    <comment ref="L11" authorId="0" shapeId="0" xr:uid="{00000000-0006-0000-0600-00004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ID#AAABSYiI67I
    (2024-07-24 09:31:28)
18
	-Henriette</t>
        </r>
      </text>
    </comment>
    <comment ref="M11" authorId="0" shapeId="0" xr:uid="{00000000-0006-0000-0600-00004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ID#AAABSYiI68A
    (2024-07-24 09:31:28)
6-12
	-Henriette</t>
        </r>
      </text>
    </comment>
    <comment ref="N11" authorId="0" shapeId="0" xr:uid="{00000000-0006-0000-0600-00002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ID#AAABSYiI7QI
    (2024-07-24 09:31:28)
18,23,30,31,
Január: 2-3
	-Henriette</t>
        </r>
      </text>
    </comment>
    <comment ref="J12" authorId="0" shapeId="0" xr:uid="{00000000-0006-0000-0600-00001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ID#AAABSYiI7XE
    (2024-07-24 09:31:28)
21-23, 26-30
	-Henriette</t>
        </r>
      </text>
    </comment>
    <comment ref="N12" authorId="0" shapeId="0" xr:uid="{00000000-0006-0000-0600-00004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ID#AAABSYiI68M
    (2024-07-24 09:31:28)
30,31
	-Henriette</t>
        </r>
      </text>
    </comment>
    <comment ref="C13" authorId="0" shapeId="0" xr:uid="{00000000-0006-0000-0600-00004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ID#AAABSYiI66A
    (2024-07-24 09:31:28)
2,3,4 - Előző évben fennmaradt szabadságból
25.
	-Mariann</t>
        </r>
      </text>
    </comment>
    <comment ref="D13" authorId="0" shapeId="0" xr:uid="{00000000-0006-0000-0600-00003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ID#AAABSYiI7JQ
    (2024-07-24 09:31:28)
4., 8.
	-Henriette</t>
        </r>
      </text>
    </comment>
    <comment ref="F13" authorId="0" shapeId="0" xr:uid="{00000000-0006-0000-0600-00001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ID#AAABSYiI7ZE
    (2024-07-24 09:31:28)
2-4
	-Henriette</t>
        </r>
      </text>
    </comment>
    <comment ref="H13" authorId="0" shapeId="0" xr:uid="{00000000-0006-0000-0600-00000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ID#AAABSYiI7f0
    (2024-07-24 09:31:28)
17-19
	-Henriette</t>
        </r>
      </text>
    </comment>
    <comment ref="I13" authorId="0" shapeId="0" xr:uid="{00000000-0006-0000-0600-00002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ID#AAABSYiI7K0
    (2024-07-24 09:31:28)
12,30-31
	-Henriette</t>
        </r>
      </text>
    </comment>
    <comment ref="J13" authorId="0" shapeId="0" xr:uid="{00000000-0006-0000-0600-00004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ID#AAABSYiI66M
    (2024-07-24 09:31:28)
7-12
	-Henriette</t>
        </r>
      </text>
    </comment>
    <comment ref="K13" authorId="0" shapeId="0" xr:uid="{00000000-0006-0000-0600-00000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ID#AAABSYiI7iI
    (2024-07-24 09:31:28)
16,23
	-Henriette</t>
        </r>
      </text>
    </comment>
    <comment ref="L13" authorId="0" shapeId="0" xr:uid="{00000000-0006-0000-0600-00002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ID#AAABSYiI7Sw
    (2024-07-24 09:31:28)
24-25, 28-30
	-Henriette</t>
        </r>
      </text>
    </comment>
    <comment ref="M13" authorId="0" shapeId="0" xr:uid="{00000000-0006-0000-0600-00003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ID#AAABSYiI7FY
    (2024-07-24 09:31:28)
11,25
	-Henriette</t>
        </r>
      </text>
    </comment>
    <comment ref="N13" authorId="0" shapeId="0" xr:uid="{00000000-0006-0000-0600-00005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ID#AAABSYiI64g
    (2024-07-24 09:31:28)
11.30,31
Január: 2-3
	-Henriette</t>
        </r>
      </text>
    </comment>
    <comment ref="F14" authorId="0" shapeId="0" xr:uid="{00000000-0006-0000-0600-00000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ID#AAABSYiI7ig
Henriette    (2024-07-24 09:31:28)
-Henriette</t>
        </r>
      </text>
    </comment>
    <comment ref="H14" authorId="0" shapeId="0" xr:uid="{00000000-0006-0000-0600-00001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ID#AAABSYiI7YU
    (2024-07-24 09:31:28)
17-19
	-Henriette</t>
        </r>
      </text>
    </comment>
    <comment ref="I14" authorId="0" shapeId="0" xr:uid="{00000000-0006-0000-0600-00000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ID#AAABSYiI7hw
    (2024-07-24 09:31:28)
26-31
	-Henriette</t>
        </r>
      </text>
    </comment>
    <comment ref="J14" authorId="0" shapeId="0" xr:uid="{00000000-0006-0000-0600-00003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ID#AAABSYiI7Hs
    (2024-07-24 09:31:28)
8-9, 12-13
	-Henriette</t>
        </r>
      </text>
    </comment>
    <comment ref="L14" authorId="0" shapeId="0" xr:uid="{00000000-0006-0000-0600-00001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ID#AAABSYiI7Y8
    (2024-07-24 09:31:28)
14-16
	-Henriette</t>
        </r>
      </text>
    </comment>
    <comment ref="N14" authorId="0" shapeId="0" xr:uid="{00000000-0006-0000-0600-00005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ID#AAABSYiI64M
    (2024-07-24 09:31:28)
16,20.30.31
január: 2-3
	-Henriette</t>
        </r>
      </text>
    </comment>
    <comment ref="C15" authorId="0" shapeId="0" xr:uid="{00000000-0006-0000-0600-00001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ID#AAABSYiI7U0
    (2024-07-24 09:31:28)
2-3 - tavalyi szabság
4- idei szabadság
7-11
	-Mariann</t>
        </r>
      </text>
    </comment>
    <comment ref="F15" authorId="0" shapeId="0" xr:uid="{00000000-0006-0000-0600-00002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ID#AAABSYiI7Nc
    (2024-07-24 09:31:28)
26
	-Henriette</t>
        </r>
      </text>
    </comment>
    <comment ref="J15" authorId="0" shapeId="0" xr:uid="{00000000-0006-0000-0600-00003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ID#AAABSYiI7KM
    (2024-07-24 09:31:28)
12-16
	-Henriette</t>
        </r>
      </text>
    </comment>
    <comment ref="K15" authorId="0" shapeId="0" xr:uid="{00000000-0006-0000-0600-00005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ID#AAABSYiI62g
    (2024-07-24 09:31:28)
16
	-Henriette</t>
        </r>
      </text>
    </comment>
    <comment ref="L15" authorId="0" shapeId="0" xr:uid="{00000000-0006-0000-0600-00002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ID#AAABSYiI7UA
    (2024-07-24 09:31:28)
21-22
	-Henriette</t>
        </r>
      </text>
    </comment>
    <comment ref="N15" authorId="0" shapeId="0" xr:uid="{00000000-0006-0000-0600-00002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ID#AAABSYiI7Rw
    (2024-07-24 09:31:28)
7,14,20,23,30,31
január2-3,6
	-Henriette</t>
        </r>
      </text>
    </comment>
    <comment ref="N16" authorId="0" shapeId="0" xr:uid="{00000000-0006-0000-0600-00003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ID#AAABSYiI7DA
    (2024-07-24 09:31:28)
19,20,23.30,31
	-Henriette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POtxWxounpE14L7TuBxpj5bqFmw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" authorId="0" shapeId="0" xr:uid="{00000000-0006-0000-0700-00002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ID#AAABSYiI7C4
    (2024-07-24 09:31:28)
8-9
	-Mariann</t>
        </r>
      </text>
    </comment>
    <comment ref="H5" authorId="0" shapeId="0" xr:uid="{00000000-0006-0000-0700-00001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ID#AAABSYiI7TA
    (2024-07-24 09:31:28)
18-19
	-Mariann</t>
        </r>
      </text>
    </comment>
    <comment ref="I5" authorId="0" shapeId="0" xr:uid="{00000000-0006-0000-0700-00004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ID#AAABSYiI63g
    (2024-07-24 09:31:28)
12-13
	-Mariann</t>
        </r>
      </text>
    </comment>
    <comment ref="J5" authorId="0" shapeId="0" xr:uid="{00000000-0006-0000-0700-00001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ID#AAABSYiI7WU
    (2024-07-24 09:31:28)
21-24
	-Mariann</t>
        </r>
      </text>
    </comment>
    <comment ref="L5" authorId="0" shapeId="0" xr:uid="{00000000-0006-0000-0700-00000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ID#AAABSYiI7j4
    (2024-07-24 09:31:28)
12,15
	-Mariann</t>
        </r>
      </text>
    </comment>
    <comment ref="M5" authorId="0" shapeId="0" xr:uid="{00000000-0006-0000-0700-00000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ID#AAABSYiI7ec
    (2024-07-24 09:31:28)
19-23
	-Mariann</t>
        </r>
      </text>
    </comment>
    <comment ref="N5" authorId="0" shapeId="0" xr:uid="{00000000-0006-0000-0700-00001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ID#AAABSYiI7R4
    (2024-07-24 09:31:28)
3-7,14-15,28
	-Mariann</t>
        </r>
      </text>
    </comment>
    <comment ref="D6" authorId="0" shapeId="0" xr:uid="{00000000-0006-0000-0700-00001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ID#AAABSYiI7Pc
    (2024-07-24 09:31:28)
8-9
	-Mariann</t>
        </r>
      </text>
    </comment>
    <comment ref="H6" authorId="0" shapeId="0" xr:uid="{00000000-0006-0000-0700-00004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ID#AAABSYiI634
    (2024-07-24 09:31:28)
18-19
	-Mariann</t>
        </r>
      </text>
    </comment>
    <comment ref="I6" authorId="0" shapeId="0" xr:uid="{00000000-0006-0000-0700-00004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ID#AAABSYiI64A
    (2024-07-24 09:31:28)
12-13
	-Mariann</t>
        </r>
      </text>
    </comment>
    <comment ref="J6" authorId="0" shapeId="0" xr:uid="{00000000-0006-0000-0700-00000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ID#AAABSYiI7eg
    (2024-07-24 09:31:28)
21-24
	-Mariann</t>
        </r>
      </text>
    </comment>
    <comment ref="L6" authorId="0" shapeId="0" xr:uid="{00000000-0006-0000-0700-00000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ID#AAABSYiI7fE
    (2024-07-24 09:31:28)
12,15
	-Mariann</t>
        </r>
      </text>
    </comment>
    <comment ref="M6" authorId="0" shapeId="0" xr:uid="{00000000-0006-0000-0700-00000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ID#AAABSYiI7jg
    (2024-07-24 09:31:28)
16,19
	-Mariann</t>
        </r>
      </text>
    </comment>
    <comment ref="N6" authorId="0" shapeId="0" xr:uid="{00000000-0006-0000-0700-00002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ID#AAABSYiI7GU
    (2024-07-24 09:31:28)
1,15,17-21,27,28
	-Mariann</t>
        </r>
      </text>
    </comment>
    <comment ref="B7" authorId="0" shapeId="0" xr:uid="{00000000-0006-0000-0700-00000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ID#AAABSYiI7X0
    (2024-07-24 09:31:28)
ebből 13 tavalyi
	-Mariann</t>
        </r>
      </text>
    </comment>
    <comment ref="C7" authorId="0" shapeId="0" xr:uid="{00000000-0006-0000-0700-00001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ID#AAABSYiI7Oc
    (2024-07-24 09:31:28)
1-3 - táppénz
4-7
8-12
	-Mariann</t>
        </r>
      </text>
    </comment>
    <comment ref="D7" authorId="0" shapeId="0" xr:uid="{00000000-0006-0000-0700-00003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ID#AAABSYiI670
    (2024-07-24 09:31:28)
13-15
	-Mariann</t>
        </r>
      </text>
    </comment>
    <comment ref="E7" authorId="0" shapeId="0" xr:uid="{00000000-0006-0000-0700-00002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ID#AAABSYiI7IY
    (2024-07-24 09:31:28)
14
	-Mariann</t>
        </r>
      </text>
    </comment>
    <comment ref="H7" authorId="0" shapeId="0" xr:uid="{00000000-0006-0000-0700-00000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ID#AAABSYiI7dk
    (2024-07-24 09:31:28)
11,29
	-Mariann</t>
        </r>
      </text>
    </comment>
    <comment ref="I7" authorId="0" shapeId="0" xr:uid="{00000000-0006-0000-0700-00000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ID#AAABSYiI7ZQ
    (2024-07-24 09:31:28)
2, 9-13,16-18
	-Mariann</t>
        </r>
      </text>
    </comment>
    <comment ref="J7" authorId="0" shapeId="0" xr:uid="{00000000-0006-0000-0700-00002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ID#AAABSYiI7Dk
    (2024-07-24 09:31:28)
10,13
	-Mariann</t>
        </r>
      </text>
    </comment>
    <comment ref="L7" authorId="0" shapeId="0" xr:uid="{00000000-0006-0000-0700-00000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ID#AAABSYiI7XU
    (2024-07-24 09:31:28)
30-31
	-Mariann</t>
        </r>
      </text>
    </comment>
    <comment ref="N7" authorId="0" shapeId="0" xr:uid="{00000000-0006-0000-0700-00001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ID#AAABSYiI7SI
    (2024-07-24 09:31:28)
1,15,20-21,27-28
	-Mariann</t>
        </r>
      </text>
    </comment>
    <comment ref="F8" authorId="0" shapeId="0" xr:uid="{00000000-0006-0000-0700-00003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ID#AAABSYiI6-I
    (2024-07-24 09:31:28)
20
	-Mariann</t>
        </r>
      </text>
    </comment>
    <comment ref="G8" authorId="0" shapeId="0" xr:uid="{00000000-0006-0000-0700-00000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ID#AAABSYiI7ho
    (2024-07-24 09:31:28)
28
	-Mariann</t>
        </r>
      </text>
    </comment>
    <comment ref="H8" authorId="0" shapeId="0" xr:uid="{00000000-0006-0000-0700-00002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ID#AAABSYiI7Ic
    (2024-07-24 09:31:28)
13-15
	-Mariann</t>
        </r>
      </text>
    </comment>
    <comment ref="I8" authorId="0" shapeId="0" xr:uid="{00000000-0006-0000-0700-00000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ID#AAABSYiI7es
    (2024-07-24 09:31:28)
23-27
	-Mariann</t>
        </r>
      </text>
    </comment>
    <comment ref="M8" authorId="0" shapeId="0" xr:uid="{00000000-0006-0000-0700-00002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ID#AAABSYiI7KU
    (2024-07-24 09:31:28)
16
	-Mariann</t>
        </r>
      </text>
    </comment>
    <comment ref="N8" authorId="0" shapeId="0" xr:uid="{00000000-0006-0000-0700-00004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ID#AAABSYiI600
    (2024-07-24 09:31:28)
1,3,7,10,14,15,18,19,20,21, 27,28
	-Mariann</t>
        </r>
      </text>
    </comment>
    <comment ref="H9" authorId="0" shapeId="0" xr:uid="{00000000-0006-0000-0700-00002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ID#AAABSYiI7Fg
    (2024-07-24 09:31:28)
25-29
	-Mariann</t>
        </r>
      </text>
    </comment>
    <comment ref="I9" authorId="0" shapeId="0" xr:uid="{00000000-0006-0000-0700-00002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ID#AAABSYiI7E4
    (2024-07-24 09:31:28)
3-6
	-Mariann</t>
        </r>
      </text>
    </comment>
    <comment ref="N9" authorId="0" shapeId="0" xr:uid="{00000000-0006-0000-0700-00004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ID#AAABSYiI60s
    (2024-07-24 09:31:28)
15,21,27,28,
	-Mariann</t>
        </r>
      </text>
    </comment>
    <comment ref="D10" authorId="0" shapeId="0" xr:uid="{00000000-0006-0000-0700-00002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ID#AAABSYiI7Eg
    (2024-07-24 09:31:28)
8-11-e, de ebből 10-11 hétvége
	-Mariann</t>
        </r>
      </text>
    </comment>
    <comment ref="F10" authorId="0" shapeId="0" xr:uid="{00000000-0006-0000-0700-00002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ID#AAABSYiI7G4
    (2024-07-24 09:31:28)
3-6,16,27
	-Mariann</t>
        </r>
      </text>
    </comment>
    <comment ref="G10" authorId="0" shapeId="0" xr:uid="{00000000-0006-0000-0700-00000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ID#AAABSYiI7aI
    (2024-07-24 09:31:28)
28
	-Mariann</t>
        </r>
      </text>
    </comment>
    <comment ref="H10" authorId="0" shapeId="0" xr:uid="{00000000-0006-0000-0700-00003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ID#AAABSYiI67w
    (2024-07-24 09:31:28)
11
	-Mariann</t>
        </r>
      </text>
    </comment>
    <comment ref="I10" authorId="0" shapeId="0" xr:uid="{00000000-0006-0000-0700-00002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ID#AAABSYiI7Js
    (2024-07-24 09:31:28)
9-29ig táppénz
	-Mariann</t>
        </r>
      </text>
    </comment>
    <comment ref="J10" authorId="0" shapeId="0" xr:uid="{00000000-0006-0000-0700-00002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ID#AAABSYiI7Fk
    (2024-07-24 09:31:28)
15-17
	-Mariann</t>
        </r>
      </text>
    </comment>
    <comment ref="M10" authorId="0" shapeId="0" xr:uid="{00000000-0006-0000-0700-00003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ID#AAABSYiI67Y
    (2024-07-24 09:31:28)
27,30
	-Mariann</t>
        </r>
      </text>
    </comment>
    <comment ref="N10" authorId="0" shapeId="0" xr:uid="{00000000-0006-0000-0700-00002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ID#AAABSYiI7CY
    (2024-07-24 09:31:28)
7,10,11,12,20,21
	-Mariann</t>
        </r>
      </text>
    </comment>
    <comment ref="C11" authorId="0" shapeId="0" xr:uid="{00000000-0006-0000-0700-00001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ID#AAABSYiI7Uw
    (2024-07-24 09:31:28)
2-4
	-Mariann</t>
        </r>
      </text>
    </comment>
    <comment ref="D11" authorId="0" shapeId="0" xr:uid="{00000000-0006-0000-0700-00000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ID#AAABSYiI7cg
    (2024-07-24 09:31:28)
2,22,23,26
	-Mariann</t>
        </r>
      </text>
    </comment>
    <comment ref="F11" authorId="0" shapeId="0" xr:uid="{00000000-0006-0000-0700-00003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ID#AAABSYiI6_Y
    (2024-07-24 09:31:28)
3,16
	-Mariann</t>
        </r>
      </text>
    </comment>
    <comment ref="G11" authorId="0" shapeId="0" xr:uid="{00000000-0006-0000-0700-00001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ID#AAABSYiI7LU
    (2024-07-24 09:31:28)
7
	-Mariann</t>
        </r>
      </text>
    </comment>
    <comment ref="H11" authorId="0" shapeId="0" xr:uid="{00000000-0006-0000-0700-00003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ID#AAABSYiI6-M
    (2024-07-24 09:31:28)
11-14
	-Mariann</t>
        </r>
      </text>
    </comment>
    <comment ref="I11" authorId="0" shapeId="0" xr:uid="{00000000-0006-0000-0700-00004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ID#AAABSYiI6ys
    (2024-07-24 09:31:28)
11-13, 16-19
	-Mariann</t>
        </r>
      </text>
    </comment>
    <comment ref="J11" authorId="0" shapeId="0" xr:uid="{00000000-0006-0000-0700-00003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ID#AAABSYiI6_0
    (2024-07-24 09:31:28)
2-3, 23-24
	-Mariann</t>
        </r>
      </text>
    </comment>
    <comment ref="L11" authorId="0" shapeId="0" xr:uid="{00000000-0006-0000-0700-00001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ID#AAABSYiI7TE
    (2024-07-24 09:31:28)
5,24-26
	-Mariann</t>
        </r>
      </text>
    </comment>
    <comment ref="N11" authorId="0" shapeId="0" xr:uid="{00000000-0006-0000-0700-00003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ID#AAABSYiI7Bs
    (2024-07-24 09:31:28)
dec: 1,15,21,27,28
	-Mariann</t>
        </r>
      </text>
    </comment>
    <comment ref="N13" authorId="0" shapeId="0" xr:uid="{00000000-0006-0000-0700-00003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ID#AAABSYiI6-g
    (2024-07-24 09:31:28)
15,21,27,28
	-Mariann</t>
        </r>
      </text>
    </comment>
    <comment ref="B14" authorId="0" shapeId="0" xr:uid="{00000000-0006-0000-0700-00004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ID#AAABSYiI61M
    (2024-07-24 09:31:28)
ebből 8 tavalyi
	-Mariann</t>
        </r>
      </text>
    </comment>
    <comment ref="C14" authorId="0" shapeId="0" xr:uid="{00000000-0006-0000-0700-00001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ID#AAABSYiI7Uk
    (2024-07-24 09:31:28)
2-5, 8-11
	-Mariann</t>
        </r>
      </text>
    </comment>
    <comment ref="D14" authorId="0" shapeId="0" xr:uid="{00000000-0006-0000-0700-00003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ID#AAABSYiI7AQ
    (2024-07-24 09:31:28)
6-9
	-Mariann</t>
        </r>
      </text>
    </comment>
    <comment ref="F14" authorId="0" shapeId="0" xr:uid="{00000000-0006-0000-0700-00002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ID#AAABSYiI7Hk
    (2024-07-24 09:31:28)
9,18-19,27
	-Mariann</t>
        </r>
      </text>
    </comment>
    <comment ref="H14" authorId="0" shapeId="0" xr:uid="{00000000-0006-0000-0700-00003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ID#AAABSYiI688
    (2024-07-24 09:31:28)
18-19
	-Mariann</t>
        </r>
      </text>
    </comment>
    <comment ref="I14" authorId="0" shapeId="0" xr:uid="{00000000-0006-0000-0700-00000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ID#AAABSYiI7Y0
    (2024-07-24 09:31:28)
11-13
	-Mariann</t>
        </r>
      </text>
    </comment>
    <comment ref="J14" authorId="0" shapeId="0" xr:uid="{00000000-0006-0000-0700-00004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ID#AAABSYiI61k
    (2024-07-24 09:31:28)
10,13
	-Mariann</t>
        </r>
      </text>
    </comment>
    <comment ref="L14" authorId="0" shapeId="0" xr:uid="{00000000-0006-0000-0700-00004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ID#AAABSYiI64c
    (2024-07-24 09:31:28)
5,8
	-Mariann</t>
        </r>
      </text>
    </comment>
    <comment ref="M14" authorId="0" shapeId="0" xr:uid="{00000000-0006-0000-0700-00004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ID#AAABSYiI65U
    (2024-07-24 09:31:28)
16,19,30
	-Mariann</t>
        </r>
      </text>
    </comment>
    <comment ref="N14" authorId="0" shapeId="0" xr:uid="{00000000-0006-0000-0700-00001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ID#AAABSYiI7PY
    (2024-07-24 09:31:28)
dec:1,3,4,10,15,17,28,
január: 2-3-4
	-Mariann</t>
        </r>
      </text>
    </comment>
    <comment ref="B15" authorId="0" shapeId="0" xr:uid="{00000000-0006-0000-0700-00003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ID#AAABSYiI65w
    (2024-07-24 09:31:28)
1 db tavalyi
	-Mariann</t>
        </r>
      </text>
    </comment>
    <comment ref="C15" authorId="0" shapeId="0" xr:uid="{00000000-0006-0000-0700-00003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ID#AAABSYiI694
    (2024-07-24 09:31:28)
2, 16-17, 29, 31
	-Mariann</t>
        </r>
      </text>
    </comment>
    <comment ref="D15" authorId="0" shapeId="0" xr:uid="{00000000-0006-0000-0700-00001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ID#AAABSYiI7Ts
    (2024-07-24 09:31:28)
7,12
23-tól táppénzes papírt fog hozni
	-Mariann</t>
        </r>
      </text>
    </comment>
    <comment ref="C16" authorId="0" shapeId="0" xr:uid="{00000000-0006-0000-0700-00004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ID#AAABSYiI6zQ
    (2024-07-24 09:31:28)
2, 29
	-Mariann</t>
        </r>
      </text>
    </comment>
    <comment ref="D16" authorId="0" shapeId="0" xr:uid="{00000000-0006-0000-0700-00002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ID#AAABSYiI7Gc
    (2024-07-24 09:31:28)
8-9
	-Mariann</t>
        </r>
      </text>
    </comment>
    <comment ref="E16" authorId="0" shapeId="0" xr:uid="{00000000-0006-0000-0700-00003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ID#AAABSYiI68k
    (2024-07-24 09:31:28)
8-10, 22
	-Mariann</t>
        </r>
      </text>
    </comment>
    <comment ref="H16" authorId="0" shapeId="0" xr:uid="{00000000-0006-0000-0700-00004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ID#AAABSYiI62Y
    (2024-07-24 09:31:28)
18-22
	-Mariann</t>
        </r>
      </text>
    </comment>
    <comment ref="I16" authorId="0" shapeId="0" xr:uid="{00000000-0006-0000-0700-00000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ID#AAABSYiI7ZY
    (2024-07-24 09:31:28)
12-13
	-Mariann</t>
        </r>
      </text>
    </comment>
    <comment ref="M16" authorId="0" shapeId="0" xr:uid="{00000000-0006-0000-0700-00001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ID#AAABSYiI7M8
    (2024-07-24 09:31:28)
5-9, 12-16
	-Mariann</t>
        </r>
      </text>
    </comment>
    <comment ref="C17" authorId="0" shapeId="0" xr:uid="{00000000-0006-0000-0700-00001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ID#AAABSYiI7Ug
    (2024-07-24 09:31:28)
8-12
	-Mariann</t>
        </r>
      </text>
    </comment>
    <comment ref="D17" authorId="0" shapeId="0" xr:uid="{00000000-0006-0000-0700-00001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ID#AAABSYiI7K8
    (2024-07-24 09:31:28)
8-9
	-Mariann</t>
        </r>
      </text>
    </comment>
    <comment ref="E17" authorId="0" shapeId="0" xr:uid="{00000000-0006-0000-0700-00003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ID#AAABSYiI66c
    (2024-07-24 09:31:28)
Mariann
26-29
	-Mariann</t>
        </r>
      </text>
    </comment>
    <comment ref="H17" authorId="0" shapeId="0" xr:uid="{00000000-0006-0000-0700-00003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ID#AAABSYiI68E
    (2024-07-24 09:31:28)
18
	-Mariann</t>
        </r>
      </text>
    </comment>
    <comment ref="J17" authorId="0" shapeId="0" xr:uid="{00000000-0006-0000-0700-00001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ID#AAABSYiI7Wc
    (2024-07-24 09:31:28)
8-10,13-14
	-Mariann</t>
        </r>
      </text>
    </comment>
    <comment ref="N17" authorId="0" shapeId="0" xr:uid="{00000000-0006-0000-0700-00002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ID#AAABSYiI7Gg
    (2024-07-24 09:31:28)
1,15,21,28
jan:2-3
	-Mariann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m3iCbadESRqhaf4m/lCPIBDnlQ=="/>
    </ext>
  </extL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" authorId="0" shapeId="0" xr:uid="{00000000-0006-0000-0800-00002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ID#AAABSYiI6zM
    (2024-07-24 09:31:28)
1,2,3,6
	-Mariann</t>
        </r>
      </text>
    </comment>
    <comment ref="H5" authorId="0" shapeId="0" xr:uid="{00000000-0006-0000-0800-00001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ID#AAABSYiI7CQ
    (2024-07-24 09:31:28)
6,23,26
	-Mariann</t>
        </r>
      </text>
    </comment>
    <comment ref="I5" authorId="0" shapeId="0" xr:uid="{00000000-0006-0000-0800-00001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ID#AAABSYiI7Vo
    (2024-07-24 09:31:28)
26,27,28,31
	-Mariann</t>
        </r>
      </text>
    </comment>
    <comment ref="J5" authorId="0" shapeId="0" xr:uid="{00000000-0006-0000-0800-00001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ID#AAABSYiI7Cs
    (2024-07-24 09:31:28)
aug 7től betegszabadság
	-Mariann</t>
        </r>
      </text>
    </comment>
    <comment ref="C7" authorId="0" shapeId="0" xr:uid="{00000000-0006-0000-0800-00000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ID#AAABSYiI7WA
    (2024-07-24 09:31:28)
11, 25,26
	-Mariann</t>
        </r>
      </text>
    </comment>
    <comment ref="H7" authorId="0" shapeId="0" xr:uid="{00000000-0006-0000-0800-00000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ID#AAABSYiI7ek
    (2024-07-24 09:31:28)
5-9,12-13
	-Mariann</t>
        </r>
      </text>
    </comment>
    <comment ref="N9" authorId="0" shapeId="0" xr:uid="{00000000-0006-0000-0800-00000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ID#AAABSYiI7fA
    (2024-07-24 09:31:28)
27,28
	-Mariann</t>
        </r>
      </text>
    </comment>
    <comment ref="C10" authorId="0" shapeId="0" xr:uid="{00000000-0006-0000-0800-00001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ID#AAABSYiI7T4
    (2024-07-24 09:31:28)
19
	-Mariann</t>
        </r>
      </text>
    </comment>
    <comment ref="D10" authorId="0" shapeId="0" xr:uid="{00000000-0006-0000-0800-00000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ID#AAABSYiI7c4
    (2024-07-24 09:31:28)
2-a és 3-a, 10-e
	-Mariann</t>
        </r>
      </text>
    </comment>
    <comment ref="F10" authorId="0" shapeId="0" xr:uid="{00000000-0006-0000-0800-00000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ID#AAABSYiI7eQ
    (2024-07-24 09:31:28)
04.12
	-Mariann</t>
        </r>
      </text>
    </comment>
    <comment ref="H10" authorId="0" shapeId="0" xr:uid="{00000000-0006-0000-0800-00000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ID#AAABSYiI7hU
    (2024-07-24 09:31:28)
9,13,16
	-Mariann</t>
        </r>
      </text>
    </comment>
    <comment ref="I10" authorId="0" shapeId="0" xr:uid="{00000000-0006-0000-0800-00002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ID#AAABSYiI6-0
    (2024-07-24 09:31:28)
19,20,21,24,25
	-Mariann</t>
        </r>
      </text>
    </comment>
    <comment ref="J10" authorId="0" shapeId="0" xr:uid="{00000000-0006-0000-0800-00001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ID#AAABSYiI7LE
    (2024-07-24 09:31:28)
29
	-Mariann</t>
        </r>
      </text>
    </comment>
    <comment ref="K10" authorId="0" shapeId="0" xr:uid="{00000000-0006-0000-0800-00001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ID#AAABSYiI7OU
    (2024-07-24 09:31:28)
4-e
20-23-a betegszabi
	-Mariann</t>
        </r>
      </text>
    </comment>
    <comment ref="N10" authorId="0" shapeId="0" xr:uid="{00000000-0006-0000-0800-00002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ID#AAABSYiI6zU
    (2024-07-24 09:31:28)
1, 4-8,11-15,18-22,27-29,
január 2,3,4
	-Mariann</t>
        </r>
      </text>
    </comment>
    <comment ref="J11" authorId="0" shapeId="0" xr:uid="{00000000-0006-0000-0800-00001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ID#AAABSYiI7RM
    (2024-07-24 09:31:28)
23-25
	-Mariann</t>
        </r>
      </text>
    </comment>
    <comment ref="L11" authorId="0" shapeId="0" xr:uid="{00000000-0006-0000-0800-00002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ID#AAABSYiI61Y
    (2024-07-24 09:31:28)
6,9,18,24
	-Mariann</t>
        </r>
      </text>
    </comment>
    <comment ref="M11" authorId="0" shapeId="0" xr:uid="{00000000-0006-0000-0800-00001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ID#AAABSYiI7Eo
    (2024-07-24 09:31:28)
2,3,20
	-Mariann</t>
        </r>
      </text>
    </comment>
    <comment ref="N11" authorId="0" shapeId="0" xr:uid="{00000000-0006-0000-0800-00000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ID#AAABSYiI7cM
    (2024-07-24 09:31:28)
1, 4-8,11-15,18-22,27-29,
január 2-5,8-11
	-Mariann</t>
        </r>
      </text>
    </comment>
    <comment ref="I12" authorId="0" shapeId="0" xr:uid="{00000000-0006-0000-0800-00002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ID#AAABSYiI6zI
    (2024-07-24 09:31:28)
14,17-21
	-Mariann</t>
        </r>
      </text>
    </comment>
    <comment ref="M12" authorId="0" shapeId="0" xr:uid="{00000000-0006-0000-0800-00000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ID#AAABSYiI7WE
    (2024-07-24 09:31:28)
2-3
	-Mariann</t>
        </r>
      </text>
    </comment>
    <comment ref="N12" authorId="0" shapeId="0" xr:uid="{00000000-0006-0000-0800-00001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ID#AAABSYiI7Rc
    (2024-07-24 09:31:28)
8,15,18-22, 27,28,29
	-Mariann</t>
        </r>
      </text>
    </comment>
    <comment ref="C13" authorId="0" shapeId="0" xr:uid="{00000000-0006-0000-0800-00000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ID#AAABSYiI7ck
    (2024-07-24 09:31:28)
11-12
	-Mariann</t>
        </r>
      </text>
    </comment>
    <comment ref="I13" authorId="0" shapeId="0" xr:uid="{00000000-0006-0000-0800-00001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ID#AAABSYiI7Jk
    (2024-07-24 09:31:28)
17
	-Mariann</t>
        </r>
      </text>
    </comment>
    <comment ref="J13" authorId="0" shapeId="0" xr:uid="{00000000-0006-0000-0800-00001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ID#AAABSYiI7Bg
    (2024-07-24 09:31:28)
22-25
	-Mariann</t>
        </r>
      </text>
    </comment>
    <comment ref="K13" authorId="0" shapeId="0" xr:uid="{00000000-0006-0000-0800-00002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ID#AAABSYiI61A
    (2024-07-24 09:31:28)
29
	-Mariann</t>
        </r>
      </text>
    </comment>
    <comment ref="M13" authorId="0" shapeId="0" xr:uid="{00000000-0006-0000-0800-00001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ID#AAABSYiI7LQ
    (2024-07-24 09:31:28)
2-3
	-Mariann</t>
        </r>
      </text>
    </comment>
    <comment ref="N13" authorId="0" shapeId="0" xr:uid="{00000000-0006-0000-0800-00001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ID#AAABSYiI7O8
    (2024-07-24 09:31:28)
11-15, 18-22, 27-29
	-Mariann</t>
        </r>
      </text>
    </comment>
    <comment ref="J14" authorId="0" shapeId="0" xr:uid="{00000000-0006-0000-0800-00000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ID#AAABSYiI7Vw
    (2024-07-24 09:31:28)
23-25
	-Mariann</t>
        </r>
      </text>
    </comment>
    <comment ref="L14" authorId="0" shapeId="0" xr:uid="{00000000-0006-0000-0800-00002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ID#AAABSYiI68I
    (2024-07-24 09:31:28)
5
	-Mariann</t>
        </r>
      </text>
    </comment>
    <comment ref="M14" authorId="0" shapeId="0" xr:uid="{00000000-0006-0000-0800-00000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ID#AAABSYiI7YY
    (2024-07-24 09:31:28)
2-3
	-Mariann</t>
        </r>
      </text>
    </comment>
    <comment ref="J15" authorId="0" shapeId="0" xr:uid="{00000000-0006-0000-0800-00000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ID#AAABSYiI7hM
    (2024-07-24 09:31:28)
23-25
	-Mariann</t>
        </r>
      </text>
    </comment>
    <comment ref="L15" authorId="0" shapeId="0" xr:uid="{00000000-0006-0000-0800-00002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ID#AAABSYiI628
    (2024-07-24 09:31:28)
6, 16,18,20,24
	-Mariann</t>
        </r>
      </text>
    </comment>
    <comment ref="M15" authorId="0" shapeId="0" xr:uid="{00000000-0006-0000-0800-00001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ID#AAABSYiI7UQ
    (2024-07-24 09:31:28)
2-3
	-Mariann</t>
        </r>
      </text>
    </comment>
    <comment ref="M16" authorId="0" shapeId="0" xr:uid="{00000000-0006-0000-0800-00001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ID#AAABSYiI7Kg
    (2024-07-24 09:31:28)
2-3
	-Mariann</t>
        </r>
      </text>
    </comment>
    <comment ref="N16" authorId="0" shapeId="0" xr:uid="{00000000-0006-0000-0800-00001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ID#AAABSYiI7UI
    (2024-07-24 09:31:28)
1, 4-8,11-15, 27-29
	-Mariann</t>
        </r>
      </text>
    </comment>
    <comment ref="E17" authorId="0" shapeId="0" xr:uid="{00000000-0006-0000-0800-00000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ID#AAABSYiI7jI
    (2024-07-24 09:31:28)
6-10
	-Mariann</t>
        </r>
      </text>
    </comment>
    <comment ref="J17" authorId="0" shapeId="0" xr:uid="{00000000-0006-0000-0800-00002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ID#AAABSYiI69o
    (2024-07-24 09:31:28)
16,17,18 és 21,22,23
	-Mariann</t>
        </r>
      </text>
    </comment>
    <comment ref="K17" authorId="0" shapeId="0" xr:uid="{00000000-0006-0000-0800-00000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ID#AAABSYiI7aM
    (2024-07-24 09:31:28)
25-26
	-Mariann</t>
        </r>
      </text>
    </comment>
    <comment ref="M17" authorId="0" shapeId="0" xr:uid="{00000000-0006-0000-0800-00000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ID#AAABSYiI7gs
    (2024-07-24 09:31:28)
2-3
	-Mariann</t>
        </r>
      </text>
    </comment>
    <comment ref="N17" authorId="0" shapeId="0" xr:uid="{00000000-0006-0000-0800-00002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ID#AAABSYiI63M
    (2024-07-24 09:31:28)
7-8,
11-15,
18-22
	-Mariann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7BCAouq3dHo3FWDrnP82Zj+cvvA=="/>
    </ext>
  </extL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5" authorId="0" shapeId="0" xr:uid="{00000000-0006-0000-0900-00000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ID#AAABSYiI7fc
    (2024-07-24 09:31:28)
6,9
	-Mariann</t>
        </r>
      </text>
    </comment>
    <comment ref="I5" authorId="0" shapeId="0" xr:uid="{00000000-0006-0000-0900-00001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ID#AAABSYiI62Q
    (2024-07-24 09:31:28)
6-8, 11-15
	-Mariann</t>
        </r>
      </text>
    </comment>
    <comment ref="L5" authorId="0" shapeId="0" xr:uid="{00000000-0006-0000-0900-00001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ID#AAABSYiI62s
    (2024-07-24 09:31:28)
15-m.nap volt
	-Mariann</t>
        </r>
      </text>
    </comment>
    <comment ref="M5" authorId="0" shapeId="0" xr:uid="{00000000-0006-0000-0900-00001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ID#AAABSYiI6_w
    (2024-07-24 09:31:28)
2-4
	-Mariann</t>
        </r>
      </text>
    </comment>
    <comment ref="N5" authorId="0" shapeId="0" xr:uid="{00000000-0006-0000-0900-00000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ID#AAABSYiI7SU
    (2024-07-24 09:31:28)
20-23,26-30
	-Mariann</t>
        </r>
      </text>
    </comment>
    <comment ref="N6" authorId="0" shapeId="0" xr:uid="{00000000-0006-0000-0900-00000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ID#AAABSYiI7iM
    (2024-07-24 09:31:28)
5,7, 12-15
	-Mariann</t>
        </r>
      </text>
    </comment>
    <comment ref="N7" authorId="0" shapeId="0" xr:uid="{00000000-0006-0000-0900-00001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ID#AAABSYiI62o
    (2024-07-24 09:31:28)
29
	-Mariann</t>
        </r>
      </text>
    </comment>
    <comment ref="J8" authorId="0" shapeId="0" xr:uid="{00000000-0006-0000-0900-00001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ID#AAABSYiI7Dw
    (2024-07-24 09:31:28)
1-5
	-Mariann</t>
        </r>
      </text>
    </comment>
    <comment ref="N10" authorId="0" shapeId="0" xr:uid="{00000000-0006-0000-0900-00000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ID#AAABSYiI7Nw
    (2024-07-24 09:31:28)
21,22,27-29
	-Mariann</t>
        </r>
      </text>
    </comment>
    <comment ref="K11" authorId="0" shapeId="0" xr:uid="{00000000-0006-0000-0900-00001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ID#AAABSYiI7MM
    (2024-07-24 09:31:28)
26-30
	-Mariann</t>
        </r>
      </text>
    </comment>
    <comment ref="M11" authorId="0" shapeId="0" xr:uid="{00000000-0006-0000-0900-00000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ID#AAABSYiI7SQ
    (2024-07-24 09:31:28)
7-11
	-Mariann</t>
        </r>
      </text>
    </comment>
    <comment ref="N11" authorId="0" shapeId="0" xr:uid="{00000000-0006-0000-0900-00000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ID#AAABSYiI7fQ
    (2024-07-24 09:31:28)
5-9,12-16,29,30
	-Mariann</t>
        </r>
      </text>
    </comment>
    <comment ref="C12" authorId="0" shapeId="0" xr:uid="{00000000-0006-0000-0900-00001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ID#AAABSYiI60Q
    (2024-07-24 09:31:28)
,13, 14,18
	-Mariann</t>
        </r>
      </text>
    </comment>
    <comment ref="I12" authorId="0" shapeId="0" xr:uid="{00000000-0006-0000-0900-00000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ID#AAABSYiI7i0
    (2024-07-24 09:31:28)
19-22, 25-29
	-Mariann</t>
        </r>
      </text>
    </comment>
    <comment ref="M12" authorId="0" shapeId="0" xr:uid="{00000000-0006-0000-0900-00000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ID#AAABSYiI7RE
    (2024-07-24 09:31:28)
30-a
	-Mariann</t>
        </r>
      </text>
    </comment>
    <comment ref="N12" authorId="0" shapeId="0" xr:uid="{00000000-0006-0000-0900-00001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ID#AAABSYiI66Q
    (2024-07-24 09:31:28)
1,2,19-23,28-30
	-Mariann</t>
        </r>
      </text>
    </comment>
    <comment ref="H13" authorId="0" shapeId="0" xr:uid="{00000000-0006-0000-0900-00001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ID#AAABSYiI7Aw
    (2024-07-24 09:31:28)
17
	-Mariann</t>
        </r>
      </text>
    </comment>
    <comment ref="N13" authorId="0" shapeId="0" xr:uid="{00000000-0006-0000-0900-00001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ID#AAABSYiI7F0
    (2024-07-24 09:31:28)
1,2,5-9,12-16
	-Mariann</t>
        </r>
      </text>
    </comment>
    <comment ref="N14" authorId="0" shapeId="0" xr:uid="{00000000-0006-0000-0900-00001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ID#AAABSYiI63A
    (2024-07-24 09:31:28)
5-9,14,16,28-30
	-Mariann</t>
        </r>
      </text>
    </comment>
    <comment ref="J15" authorId="0" shapeId="0" xr:uid="{00000000-0006-0000-0900-00000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ID#AAABSYiI7U8
    (2024-07-24 09:31:28)
6,7
	-Mariann</t>
        </r>
      </text>
    </comment>
    <comment ref="K15" authorId="0" shapeId="0" xr:uid="{00000000-0006-0000-0900-00000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ID#AAABSYiI7iA
    (2024-07-24 09:31:28)
12-16, 19-23, 26-29
	-Mariann</t>
        </r>
      </text>
    </comment>
    <comment ref="C16" authorId="0" shapeId="0" xr:uid="{00000000-0006-0000-0900-00001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ID#AAABSYiI6zc
    (2024-07-24 09:31:28)
4-8,11-15
	-Mariann</t>
        </r>
      </text>
    </comment>
    <comment ref="G16" authorId="0" shapeId="0" xr:uid="{00000000-0006-0000-0900-00000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ID#AAABSYiI7fg
    (2024-07-24 09:31:28)
9-13
	-Mariann</t>
        </r>
      </text>
    </comment>
    <comment ref="G17" authorId="0" shapeId="0" xr:uid="{00000000-0006-0000-0900-00001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ID#AAABSYiI6_s
    (2024-07-24 09:31:28)
17,18,19,20
	-Mariann</t>
        </r>
      </text>
    </comment>
    <comment ref="N17" authorId="0" shapeId="0" xr:uid="{00000000-0006-0000-0900-00001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ID#AAABSYiI7Lk
    (2024-07-24 09:31:28)
7-9,12-16,,29,30
	-Mariann</t>
        </r>
      </text>
    </comment>
    <comment ref="F18" authorId="0" shapeId="0" xr:uid="{00000000-0006-0000-0900-00000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ID#AAABSYiI7RQ
    (2024-07-24 09:31:28)
1, 4, 5
	-Mariann</t>
        </r>
      </text>
    </comment>
    <comment ref="J18" authorId="0" shapeId="0" xr:uid="{00000000-0006-0000-0900-00000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ID#AAABSYiI7Ws
    (2024-07-24 09:31:28)
29-31
	-Mariann</t>
        </r>
      </text>
    </comment>
    <comment ref="K18" authorId="0" shapeId="0" xr:uid="{00000000-0006-0000-0900-00001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ID#AAABSYiI6_o
    (2024-07-24 09:31:28)
1-2
	-Mariann</t>
        </r>
      </text>
    </comment>
    <comment ref="N18" authorId="0" shapeId="0" xr:uid="{00000000-0006-0000-0900-00000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ID#AAABSYiI7ew
    (2024-07-24 09:31:28)
5-9,22,23,27,28,29
	-Mariann</t>
        </r>
      </text>
    </comment>
    <comment ref="I19" authorId="0" shapeId="0" xr:uid="{00000000-0006-0000-0900-00000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ID#AAABSYiI7VY
    (2024-07-24 09:31:28)
18-22
	-Mariann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ZWoiEvlohNSeBHKX0qx0RgTkilw=="/>
    </ext>
  </extL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5" authorId="0" shapeId="0" xr:uid="{00000000-0006-0000-0A00-00001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ID#AAABSYiI62A
    (2024-07-24 09:31:28)
26-30
	-Mariann</t>
        </r>
      </text>
    </comment>
    <comment ref="N5" authorId="0" shapeId="0" xr:uid="{00000000-0006-0000-0A00-00001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ID#AAABSYiI69E
    (2024-07-24 09:31:28)
23-a
	-Mariann</t>
        </r>
      </text>
    </comment>
    <comment ref="G6" authorId="0" shapeId="0" xr:uid="{00000000-0006-0000-0A00-00001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ID#AAABSYiI60k
    (2024-07-24 09:31:28)
18-22
	-Mariann</t>
        </r>
      </text>
    </comment>
    <comment ref="J7" authorId="0" shapeId="0" xr:uid="{00000000-0006-0000-0A00-00001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ID#AAABSYiI61Q
    (2024-07-24 09:31:28)
10-14
	-Mariann</t>
        </r>
      </text>
    </comment>
    <comment ref="L7" authorId="0" shapeId="0" xr:uid="{00000000-0006-0000-0A00-00000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ID#AAABSYiI7as
    (2024-07-24 09:31:28)
26-30
	-Mariann</t>
        </r>
      </text>
    </comment>
    <comment ref="M7" authorId="0" shapeId="0" xr:uid="{00000000-0006-0000-0A00-00001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ID#AAABSYiI6zE
    (2024-07-24 09:31:28)
9-12
	-Mariann</t>
        </r>
      </text>
    </comment>
    <comment ref="N7" authorId="0" shapeId="0" xr:uid="{00000000-0006-0000-0A00-00000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ID#AAABSYiI7bw
    (2024-07-24 09:31:28)
11,12,14-18,21-23, 28-31
	-Mariann</t>
        </r>
      </text>
    </comment>
    <comment ref="N8" authorId="0" shapeId="0" xr:uid="{00000000-0006-0000-0A00-00001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ID#AAABSYiI68c
    (2024-07-24 09:31:28)
14-16
	-Mariann</t>
        </r>
      </text>
    </comment>
    <comment ref="L9" authorId="0" shapeId="0" xr:uid="{00000000-0006-0000-0A00-00000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ID#AAABSYiI7Xk
    (2024-07-24 09:31:28)
26-30
	-Mariann</t>
        </r>
      </text>
    </comment>
    <comment ref="M9" authorId="0" shapeId="0" xr:uid="{00000000-0006-0000-0A00-00000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ID#AAABSYiI7kA
    (2024-07-24 09:31:28)
9-11
	-Mariann</t>
        </r>
      </text>
    </comment>
    <comment ref="N9" authorId="0" shapeId="0" xr:uid="{00000000-0006-0000-0A00-00000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ID#AAABSYiI7PU
    (2024-07-24 09:31:28)
22-24, 27-31
	-Mariann</t>
        </r>
      </text>
    </comment>
    <comment ref="D10" authorId="0" shapeId="0" xr:uid="{00000000-0006-0000-0A00-00000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ID#AAABSYiI7Ow
    (2024-07-24 09:31:28)
febr. 6.
	-Mariann</t>
        </r>
      </text>
    </comment>
    <comment ref="I10" authorId="0" shapeId="0" xr:uid="{00000000-0006-0000-0A00-00000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ID#AAABSYiI7OM
    (2024-07-24 09:31:28)
27-31
	-Mariann</t>
        </r>
      </text>
    </comment>
    <comment ref="M10" authorId="0" shapeId="0" xr:uid="{00000000-0006-0000-0A00-00000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ID#AAABSYiI7O4
    (2024-07-24 09:31:28)
9-13, 16-20
	-Mariann</t>
        </r>
      </text>
    </comment>
    <comment ref="N10" authorId="0" shapeId="0" xr:uid="{00000000-0006-0000-0A00-00000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ID#AAABSYiI7jA
    (2024-07-24 09:31:28)
14-18, 21-24, 28-31
	-Mariann</t>
        </r>
      </text>
    </comment>
    <comment ref="L11" authorId="0" shapeId="0" xr:uid="{00000000-0006-0000-0A00-00000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ID#AAABSYiI7RA
    (2024-07-24 09:31:28)
29-30
	-Mariann</t>
        </r>
      </text>
    </comment>
    <comment ref="M11" authorId="0" shapeId="0" xr:uid="{00000000-0006-0000-0A00-00001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ID#AAABSYiI7Hw
    (2024-07-24 09:31:28)
2-6
	-Mariann</t>
        </r>
      </text>
    </comment>
    <comment ref="N11" authorId="0" shapeId="0" xr:uid="{00000000-0006-0000-0A00-00000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ID#AAABSYiI7YA
    (2024-07-24 09:31:28)
15-18, 21-25, 28-31
	-Mariann</t>
        </r>
      </text>
    </comment>
    <comment ref="K12" authorId="0" shapeId="0" xr:uid="{00000000-0006-0000-0A00-00001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ID#AAABSYiI63c
    (2024-07-24 09:31:28)
09.01-04.
	-Mariann</t>
        </r>
      </text>
    </comment>
    <comment ref="E13" authorId="0" shapeId="0" xr:uid="{00000000-0006-0000-0A00-00001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ID#AAABSYiI7D0
    (2024-07-24 09:31:28)
március 18-20
	-Mariann</t>
        </r>
      </text>
    </comment>
    <comment ref="G13" authorId="0" shapeId="0" xr:uid="{00000000-0006-0000-0A00-00001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ID#AAABSYiI7D8
    (2024-07-24 09:31:28)
május 19-22, 25-29
	-Mariann</t>
        </r>
      </text>
    </comment>
    <comment ref="H13" authorId="0" shapeId="0" xr:uid="{00000000-0006-0000-0A00-00000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ID#AAABSYiI7dU
    (2024-07-24 09:31:28)
1-3
	-Mariann</t>
        </r>
      </text>
    </comment>
    <comment ref="E14" authorId="0" shapeId="0" xr:uid="{00000000-0006-0000-0A00-00001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ID#AAABSYiI6_4
    (2024-07-24 09:31:28)
18.19,20
	-Mariann</t>
        </r>
      </text>
    </comment>
    <comment ref="G14" authorId="0" shapeId="0" xr:uid="{00000000-0006-0000-0A00-00000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ID#AAABSYiI7ME
    (2024-07-24 09:31:28)
25-29
	-Mariann</t>
        </r>
      </text>
    </comment>
    <comment ref="I14" authorId="0" shapeId="0" xr:uid="{00000000-0006-0000-0A00-00000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ID#AAABSYiI7bk
    (2024-07-24 09:31:28)
13-17
	-Mariann</t>
        </r>
      </text>
    </comment>
    <comment ref="N14" authorId="0" shapeId="0" xr:uid="{00000000-0006-0000-0A00-00000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ID#AAABSYiI7Os
    (2024-07-24 09:31:28)
17,18,21-23,28-31
	-Mariann</t>
        </r>
      </text>
    </comment>
    <comment ref="L16" authorId="0" shapeId="0" xr:uid="{00000000-0006-0000-0A00-00001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ID#AAABSYiI618
    (2024-07-24 09:31:28)
26-30
	-Mariann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hL1Xx71BXbnX1ytM6izJTIf3vNQ=="/>
    </ext>
  </extL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" authorId="0" shapeId="0" xr:uid="{00000000-0006-0000-0B00-00001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ID#AAABSYiI7Cg
    (2024-07-24 09:31:28)
febr.21.
	-kicsi mariann</t>
        </r>
      </text>
    </comment>
    <comment ref="I5" authorId="0" shapeId="0" xr:uid="{00000000-0006-0000-0B00-00001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ID#AAABSYiI7IA
    (2024-07-24 09:31:28)
júli 9-11
	-kicsi mariann</t>
        </r>
      </text>
    </comment>
    <comment ref="K5" authorId="0" shapeId="0" xr:uid="{00000000-0006-0000-0B00-00000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ID#AAABSYiI7cE
    (2024-07-24 09:31:28)
8-12
	-kicsi mariann</t>
        </r>
      </text>
    </comment>
    <comment ref="N5" authorId="0" shapeId="0" xr:uid="{00000000-0006-0000-0B00-00001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ID#AAABSYiI67U
    (2024-07-24 09:31:28)
22-23,29-31
	-kicsi mariann</t>
        </r>
      </text>
    </comment>
    <comment ref="I6" authorId="0" shapeId="0" xr:uid="{00000000-0006-0000-0B00-00000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ID#AAABSYiI7UE
    (2024-07-24 09:31:28)
júli 7-11
	-kicsi mariann</t>
        </r>
      </text>
    </comment>
    <comment ref="K6" authorId="0" shapeId="0" xr:uid="{00000000-0006-0000-0B00-00001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ID#AAABSYiI6-Q
    (2024-07-24 09:31:28)
1-3
	-kicsi mariann</t>
        </r>
      </text>
    </comment>
    <comment ref="L6" authorId="0" shapeId="0" xr:uid="{00000000-0006-0000-0B00-00001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ID#AAABSYiI68g
    (2024-07-24 09:31:28)
14-18
	-kicsi mariann</t>
        </r>
      </text>
    </comment>
    <comment ref="M6" authorId="0" shapeId="0" xr:uid="{00000000-0006-0000-0B00-00000C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ID#AAABSYiI7OA
    (2024-07-24 09:31:28)
3,4,5
	-Mariann</t>
        </r>
      </text>
    </comment>
    <comment ref="N6" authorId="0" shapeId="0" xr:uid="{00000000-0006-0000-0B00-00000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ID#AAABSYiI7f4
    (2024-07-24 09:31:28)
22-23,29-30
	-kicsi mariann</t>
        </r>
      </text>
    </comment>
    <comment ref="H7" authorId="0" shapeId="0" xr:uid="{00000000-0006-0000-0B00-00000A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ID#AAABSYiI7QM
    (2024-07-24 09:31:28)
júni 16-20
	-kicsi mariann</t>
        </r>
      </text>
    </comment>
    <comment ref="J7" authorId="0" shapeId="0" xr:uid="{00000000-0006-0000-0B00-00001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ID#AAABSYiI7Fs
    (2024-07-24 09:31:28)
25-29
	-kicsi mariann</t>
        </r>
      </text>
    </comment>
    <comment ref="L7" authorId="0" shapeId="0" xr:uid="{00000000-0006-0000-0B00-000020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ID#AAABSYiI60o
    (2024-07-24 09:31:28)
20-21-22
	-kicsi mariann</t>
        </r>
      </text>
    </comment>
    <comment ref="N7" authorId="0" shapeId="0" xr:uid="{00000000-0006-0000-0B00-00001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ID#AAABSYiI7C0
    (2024-07-24 09:31:28)
22,23,29-31
	-kicsi mariann</t>
        </r>
      </text>
    </comment>
    <comment ref="D8" authorId="0" shapeId="0" xr:uid="{00000000-0006-0000-0B00-00001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ID#AAABSYiI66g
    (2024-07-24 09:31:28)
febr.3-7
	-kicsi mariann</t>
        </r>
      </text>
    </comment>
    <comment ref="I8" authorId="0" shapeId="0" xr:uid="{00000000-0006-0000-0B00-00001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ID#AAABSYiI69A
    (2024-07-24 09:31:28)
júli 18, 21-25; 28
	-kicsi mariann</t>
        </r>
      </text>
    </comment>
    <comment ref="J8" authorId="0" shapeId="0" xr:uid="{00000000-0006-0000-0B00-00001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ID#AAABSYiI7CE
    (2024-07-24 09:31:28)
4-8
	-kicsi mariann</t>
        </r>
      </text>
    </comment>
    <comment ref="K8" authorId="0" shapeId="0" xr:uid="{00000000-0006-0000-0B00-00000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ID#AAABSYiI7Ss
    (2024-07-24 09:31:28)
22,23,24
	-kicsi mariann</t>
        </r>
      </text>
    </comment>
    <comment ref="N8" authorId="0" shapeId="0" xr:uid="{00000000-0006-0000-0B00-00000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ID#AAABSYiI7Yk
    (2024-07-24 09:31:28)
20,22,23,29-31
	-Mariann</t>
        </r>
      </text>
    </comment>
    <comment ref="J9" authorId="0" shapeId="0" xr:uid="{00000000-0006-0000-0B00-00001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ID#AAABSYiI6-4
    (2024-07-24 09:31:28)
25-29
	-kicsi mariann</t>
        </r>
      </text>
    </comment>
    <comment ref="K9" authorId="0" shapeId="0" xr:uid="{00000000-0006-0000-0B00-00000E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ID#AAABSYiI7MI
    (2024-07-24 09:31:28)
1-5
	-kicsi mariann</t>
        </r>
      </text>
    </comment>
    <comment ref="L9" authorId="0" shapeId="0" xr:uid="{00000000-0006-0000-0B00-00001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ID#AAABSYiI66o
    (2024-07-24 09:31:28)
18,20
	-kicsi mariann</t>
        </r>
      </text>
    </comment>
    <comment ref="I10" authorId="0" shapeId="0" xr:uid="{00000000-0006-0000-0B00-00000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ID#AAABSYiI7KY
    (2024-07-24 09:31:28)
júli 21-25
	-kicsi mariann</t>
        </r>
      </text>
    </comment>
    <comment ref="J10" authorId="0" shapeId="0" xr:uid="{00000000-0006-0000-0B00-000009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ID#AAABSYiI7Qg
    (2024-07-24 09:31:28)
4-8, 11-15
	-kicsi mariann</t>
        </r>
      </text>
    </comment>
    <comment ref="M10" authorId="0" shapeId="0" xr:uid="{00000000-0006-0000-0B00-00001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ID#AAABSYiI67M
    (2024-07-24 09:31:28)
3-7, 10,11
	-Mariann</t>
        </r>
      </text>
    </comment>
    <comment ref="N10" authorId="0" shapeId="0" xr:uid="{00000000-0006-0000-0B00-00001F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ID#AAABSYiI63k
    (2024-07-24 09:31:28)
13,22,23,29,30,31
	-Mariann</t>
        </r>
      </text>
    </comment>
    <comment ref="E11" authorId="0" shapeId="0" xr:uid="{00000000-0006-0000-0B00-00001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ID#AAABSYiI7F4
    (2024-07-24 09:31:28)
03.12-14.
	-kicsi mariann</t>
        </r>
      </text>
    </comment>
    <comment ref="J11" authorId="0" shapeId="0" xr:uid="{00000000-0006-0000-0B00-00000B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ID#AAABSYiI7Pk
    (2024-07-24 09:31:28)
19,21,22,25-27
	-kicsi mariann</t>
        </r>
      </text>
    </comment>
    <comment ref="N11" authorId="0" shapeId="0" xr:uid="{00000000-0006-0000-0B00-00000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ID#AAABSYiI7SA
    (2024-07-24 09:31:28)
13,19,22-23,29-30
	-kicsi mariann</t>
        </r>
      </text>
    </comment>
    <comment ref="J12" authorId="0" shapeId="0" xr:uid="{00000000-0006-0000-0B00-00000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ID#AAABSYiI7ac
    (2024-07-24 09:31:28)
4-8
	-kicsi mariann</t>
        </r>
      </text>
    </comment>
    <comment ref="L12" authorId="0" shapeId="0" xr:uid="{00000000-0006-0000-0B00-00000D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ID#AAABSYiI7Mg
    (2024-07-24 09:31:28)
20-22
	-kicsi mariann</t>
        </r>
      </text>
    </comment>
    <comment ref="M12" authorId="0" shapeId="0" xr:uid="{00000000-0006-0000-0B00-00001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ID#AAABSYiI7D4
    (2024-07-24 09:31:28)
4-7
	-Mariann</t>
        </r>
      </text>
    </comment>
    <comment ref="N12" authorId="0" shapeId="0" xr:uid="{00000000-0006-0000-0B00-00000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ID#AAABSYiI7hk
    (2024-07-24 09:31:28)
13,20,22,23
	-Mariann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QsL2KH8x9axz4oZ/RG/MvT8RBLQ=="/>
    </ext>
  </extL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6" authorId="0" shapeId="0" xr:uid="{00000000-0006-0000-0C00-000001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ID#AAABSYiI7gU
    (2024-07-24 09:31:28)
dec: 18-20,23-24,30
	-kicsi mariann</t>
        </r>
      </text>
    </comment>
    <comment ref="M8" authorId="0" shapeId="0" xr:uid="{00000000-0006-0000-0C00-000007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ID#AAABSYiI7IE
    (2024-07-24 09:31:28)
nov:18-22
	-kicsi mariann</t>
        </r>
      </text>
    </comment>
    <comment ref="N8" authorId="0" shapeId="0" xr:uid="{00000000-0006-0000-0C00-000003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ID#AAABSYiI7bQ
    (2024-07-24 09:31:28)
dec: 17-20,23-24,
	-kicsi mariann</t>
        </r>
      </text>
    </comment>
    <comment ref="I9" authorId="0" shapeId="0" xr:uid="{00000000-0006-0000-0C00-000005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ID#AAABSYiI7R0
    (2024-07-24 09:31:28)
csak 2
	-kicsi mariann</t>
        </r>
      </text>
    </comment>
    <comment ref="M9" authorId="0" shapeId="0" xr:uid="{00000000-0006-0000-0C00-000004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ID#AAABSYiI7TU
    (2024-07-24 09:31:28)
nov.4-8,11
	-kicsi mariann</t>
        </r>
      </text>
    </comment>
    <comment ref="N9" authorId="0" shapeId="0" xr:uid="{00000000-0006-0000-0C00-000006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ID#AAABSYiI7NU
    (2024-07-24 09:31:28)
dec: 18-20,23-24,30
	-kicsi mariann</t>
        </r>
      </text>
    </comment>
    <comment ref="N10" authorId="0" shapeId="0" xr:uid="{00000000-0006-0000-0C00-000008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ID#AAABSYiI7GQ
    (2024-07-24 09:31:28)
dec: 24,27,30-31
	-kicsi mariann</t>
        </r>
      </text>
    </comment>
    <comment ref="N11" authorId="0" shapeId="0" xr:uid="{00000000-0006-0000-0C00-000002000000}">
      <text>
        <r>
          <rPr>
            <sz val="11"/>
            <color theme="1"/>
            <rFont val="Calibri"/>
            <family val="2"/>
            <charset val="238"/>
            <scheme val="minor"/>
          </rPr>
          <t>======
ID#AAABSYiI7bI
    (2024-07-24 09:31:28)
dec: 23-24,30
	-kicsi mariann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g4WpjPXw33gFlYjJcCEyXsnXwnw=="/>
    </ext>
  </extLst>
</comments>
</file>

<file path=xl/sharedStrings.xml><?xml version="1.0" encoding="utf-8"?>
<sst xmlns="http://schemas.openxmlformats.org/spreadsheetml/2006/main" count="775" uniqueCount="211">
  <si>
    <t>Név</t>
  </si>
  <si>
    <t>Összesen kivehető nap</t>
  </si>
  <si>
    <t>Január</t>
  </si>
  <si>
    <t>Február</t>
  </si>
  <si>
    <t>Március</t>
  </si>
  <si>
    <t>Április</t>
  </si>
  <si>
    <t>Május</t>
  </si>
  <si>
    <t xml:space="preserve">Június </t>
  </si>
  <si>
    <t>Július</t>
  </si>
  <si>
    <t>Augusztus</t>
  </si>
  <si>
    <t>Szeptember</t>
  </si>
  <si>
    <t>Október</t>
  </si>
  <si>
    <t>November</t>
  </si>
  <si>
    <t>December</t>
  </si>
  <si>
    <t>Összesen</t>
  </si>
  <si>
    <t>Balázs Gábor</t>
  </si>
  <si>
    <t>Július 10-11-12</t>
  </si>
  <si>
    <t>Bernyák Botond</t>
  </si>
  <si>
    <t>Helmle Mónika</t>
  </si>
  <si>
    <t>Lakesz Bence</t>
  </si>
  <si>
    <t>Lukács-Kovács Henriette</t>
  </si>
  <si>
    <t>Marti György</t>
  </si>
  <si>
    <t>Mészáros Bálint</t>
  </si>
  <si>
    <t>Mészáros Dávid</t>
  </si>
  <si>
    <t>Rucska József</t>
  </si>
  <si>
    <t>Sági László</t>
  </si>
  <si>
    <t>Sebestyén Koppány</t>
  </si>
  <si>
    <t xml:space="preserve">Tomon-Marti Csillag </t>
  </si>
  <si>
    <t>Tóth Géza</t>
  </si>
  <si>
    <t>Veres Ferenc</t>
  </si>
  <si>
    <t>Eseményszervezés</t>
  </si>
  <si>
    <t>Balázs-Treszner Tímea</t>
  </si>
  <si>
    <t>Földi László</t>
  </si>
  <si>
    <t xml:space="preserve">Varga Balázs </t>
  </si>
  <si>
    <t>Bikkes Kristóf</t>
  </si>
  <si>
    <t xml:space="preserve">Marti Csillag </t>
  </si>
  <si>
    <t>Gyuricza Dániel</t>
  </si>
  <si>
    <t>Mészáros Balázs</t>
  </si>
  <si>
    <t>Simon Gábor</t>
  </si>
  <si>
    <t>Alkalmi</t>
  </si>
  <si>
    <t>1 fő</t>
  </si>
  <si>
    <t>3fő</t>
  </si>
  <si>
    <t>Születési név</t>
  </si>
  <si>
    <t>Szül.hely, idő</t>
  </si>
  <si>
    <t>Anyja neve</t>
  </si>
  <si>
    <t>Lakcím</t>
  </si>
  <si>
    <t xml:space="preserve"> TAJ</t>
  </si>
  <si>
    <t>Adóazonosító</t>
  </si>
  <si>
    <t>Jakab Lajos Barnabás </t>
  </si>
  <si>
    <t>Bonyhád, 2000.04.11</t>
  </si>
  <si>
    <t>Dr. Harangozó Adrienn </t>
  </si>
  <si>
    <t>1161 Budapest Sándor utca 33-35</t>
  </si>
  <si>
    <t>Nuszer László Zsigmond </t>
  </si>
  <si>
    <t>Budapest, 2000.06.01</t>
  </si>
  <si>
    <t>Gáliszter Erika Katalin</t>
  </si>
  <si>
    <t>2310 Szigetszentmiklós Sas utca 33.</t>
  </si>
  <si>
    <t>Tóth Géza Dániel </t>
  </si>
  <si>
    <t>Budapest, 2000.07.13</t>
  </si>
  <si>
    <t>Tihanyi Anita</t>
  </si>
  <si>
    <t>2310 Szigetszentmiklós Rákóczi utca 48/a</t>
  </si>
  <si>
    <t>Kapás Sára</t>
  </si>
  <si>
    <t>Karcag, 2003.04.25</t>
  </si>
  <si>
    <t>Dr. Kapás Lilla</t>
  </si>
  <si>
    <t>2120 Dunakeszi, Rezeda u. 2.</t>
  </si>
  <si>
    <t>Tóth Richárd</t>
  </si>
  <si>
    <t>Tömöri Gyula</t>
  </si>
  <si>
    <t>Barati Norbert</t>
  </si>
  <si>
    <t>Bencs János</t>
  </si>
  <si>
    <t>Dalton Zsófia</t>
  </si>
  <si>
    <t>Gelicze-Balogh Csilla</t>
  </si>
  <si>
    <t>beteg</t>
  </si>
  <si>
    <t>Gyenes Anita</t>
  </si>
  <si>
    <t>Hernádi Alex</t>
  </si>
  <si>
    <t>SZABADSÁG ÖSSZESÍTŐ 2018</t>
  </si>
  <si>
    <t>SAKKMED 2005 kft.</t>
  </si>
  <si>
    <t>Crisán Mariann</t>
  </si>
  <si>
    <t>Halasi Amanda</t>
  </si>
  <si>
    <t>-</t>
  </si>
  <si>
    <t>Marti Csillag</t>
  </si>
  <si>
    <t>Pap Richárd</t>
  </si>
  <si>
    <t>23-ától betegszabi papír?</t>
  </si>
  <si>
    <t>Schiller-Kertész Tamás</t>
  </si>
  <si>
    <t>SZABADSÁG ÖSSZESÍTŐ 2017</t>
  </si>
  <si>
    <t>tápppénz papír</t>
  </si>
  <si>
    <t>ebből 1 tavalyról</t>
  </si>
  <si>
    <t>Bendali Kamel</t>
  </si>
  <si>
    <t>Csákvári Csaba</t>
  </si>
  <si>
    <t>előző évről ebből 4</t>
  </si>
  <si>
    <t>Lesz táppénzes papírja</t>
  </si>
  <si>
    <t>ebből 7 tavalyról</t>
  </si>
  <si>
    <t>Nagy Brigitta</t>
  </si>
  <si>
    <t>ebből 3 tavalyról</t>
  </si>
  <si>
    <t>júni 17-18</t>
  </si>
  <si>
    <t>Plánk Attila Norbert</t>
  </si>
  <si>
    <t>Szabó András</t>
  </si>
  <si>
    <t>ebből 10 tavalyról</t>
  </si>
  <si>
    <t>ebből 4 tavalyról</t>
  </si>
  <si>
    <t>SZABADSÁG ÖSSZESÍTŐ 2016</t>
  </si>
  <si>
    <t>Csizmadia Brigitta</t>
  </si>
  <si>
    <t>Guzsik Ákos</t>
  </si>
  <si>
    <t>maradékot januárra kiírom</t>
  </si>
  <si>
    <t>Salamon Gergely</t>
  </si>
  <si>
    <t>SZABADSÁG ÖSSZESÍTŐ 2015</t>
  </si>
  <si>
    <t>Kovács Ágnes</t>
  </si>
  <si>
    <t>Szekszárdi Gábor András</t>
  </si>
  <si>
    <t>Tem Dániel</t>
  </si>
  <si>
    <t>Treszner Tímea</t>
  </si>
  <si>
    <t>SZABADSÁG ÖSSZESÍTŐ 2014</t>
  </si>
  <si>
    <t>Pető Ádám</t>
  </si>
  <si>
    <t>Szabó Tamás</t>
  </si>
  <si>
    <t>19. 13-ra cserélve</t>
  </si>
  <si>
    <t>Timinél (BG párja, áprilisig Ő volt gyesen) nem tudom h a szabadságot h kellene kiírni</t>
  </si>
  <si>
    <t>SZABADSÁG ÖSSZESÍTŐ 2013</t>
  </si>
  <si>
    <t>aug 8-9</t>
  </si>
  <si>
    <t>szept 25-26</t>
  </si>
  <si>
    <t>szept 26-27</t>
  </si>
  <si>
    <t>okt 25,28</t>
  </si>
  <si>
    <t>okt 21,22</t>
  </si>
  <si>
    <t>okt 17,18,21</t>
  </si>
  <si>
    <t>okt 1,2</t>
  </si>
  <si>
    <t>okt 21,25,28</t>
  </si>
  <si>
    <t>okt 24,25</t>
  </si>
  <si>
    <t>okt 4,28</t>
  </si>
  <si>
    <t>nov 25,26,29</t>
  </si>
  <si>
    <t>nov 25,26,27</t>
  </si>
  <si>
    <t>nov 11,12,15</t>
  </si>
  <si>
    <t>nov 20,21,22,29</t>
  </si>
  <si>
    <t>nov 4,5, 25,26</t>
  </si>
  <si>
    <t>nov 11,12,25,26</t>
  </si>
  <si>
    <t>nov 27,28,29</t>
  </si>
  <si>
    <t>nov 4,5,6</t>
  </si>
  <si>
    <t>nov 4,18,25</t>
  </si>
  <si>
    <t>nov 6,7,18,19</t>
  </si>
  <si>
    <t>Event Structure</t>
  </si>
  <si>
    <t>Bodó Balázs</t>
  </si>
  <si>
    <t>Neumajer Kitti</t>
  </si>
  <si>
    <t>dec 27,30</t>
  </si>
  <si>
    <t>dec 16-20, 23,27</t>
  </si>
  <si>
    <t>dec 13,16-19</t>
  </si>
  <si>
    <t>dec 16-20,23,27</t>
  </si>
  <si>
    <t>dec 7,14,16-20,23,27,30</t>
  </si>
  <si>
    <t>dec 7,14,23,27,30</t>
  </si>
  <si>
    <t>dec 7,14,17-20,23,27,30</t>
  </si>
  <si>
    <t>dec 7,13,14,23,27,30</t>
  </si>
  <si>
    <t>dec 16-20, 23,30</t>
  </si>
  <si>
    <t>13-14-15</t>
  </si>
  <si>
    <t>20-22,27,28</t>
  </si>
  <si>
    <t>9,10,13,27,28</t>
  </si>
  <si>
    <t>5-6-7,12</t>
  </si>
  <si>
    <t>20,21,24</t>
  </si>
  <si>
    <t>19,20,21</t>
  </si>
  <si>
    <t>21,24,25</t>
  </si>
  <si>
    <t>10,11,12</t>
  </si>
  <si>
    <t>13,14,21</t>
  </si>
  <si>
    <t>3,4,5</t>
  </si>
  <si>
    <t>Veress Gréta</t>
  </si>
  <si>
    <t>14,17,18,27</t>
  </si>
  <si>
    <t>27,28,31</t>
  </si>
  <si>
    <t>17-20</t>
  </si>
  <si>
    <t>3,10,28</t>
  </si>
  <si>
    <t>26-28</t>
  </si>
  <si>
    <t>12,13,14</t>
  </si>
  <si>
    <t>3,4,14</t>
  </si>
  <si>
    <t>16-20</t>
  </si>
  <si>
    <t>3,4,5,6</t>
  </si>
  <si>
    <t>9,10,11</t>
  </si>
  <si>
    <t>14-18</t>
  </si>
  <si>
    <t>15-18</t>
  </si>
  <si>
    <t>4,5,6,7,8</t>
  </si>
  <si>
    <t>5,6,7,8</t>
  </si>
  <si>
    <t>17,18,19</t>
  </si>
  <si>
    <t>1,2,3,4,5</t>
  </si>
  <si>
    <t>11,12,15,16</t>
  </si>
  <si>
    <t>22-26</t>
  </si>
  <si>
    <t>20,21,22,27</t>
  </si>
  <si>
    <t>20, 30</t>
  </si>
  <si>
    <t>6,7,8</t>
  </si>
  <si>
    <t>27-30</t>
  </si>
  <si>
    <t>nov 3-14</t>
  </si>
  <si>
    <t>nov 17-28</t>
  </si>
  <si>
    <t>5,6,7,27,28</t>
  </si>
  <si>
    <t>17,19,24</t>
  </si>
  <si>
    <t>3,4,5,6,7</t>
  </si>
  <si>
    <t>4,5,6,7</t>
  </si>
  <si>
    <t>10,11,12,13,14</t>
  </si>
  <si>
    <t>5,6,7,10</t>
  </si>
  <si>
    <t>24,25,26</t>
  </si>
  <si>
    <t>Nyári Armand</t>
  </si>
  <si>
    <t>15-23</t>
  </si>
  <si>
    <t>17-19, 22-23, 29-31</t>
  </si>
  <si>
    <t>15-23, 29-31</t>
  </si>
  <si>
    <t>29-31</t>
  </si>
  <si>
    <t>Június</t>
  </si>
  <si>
    <t>19-21</t>
  </si>
  <si>
    <t>5,6,7</t>
  </si>
  <si>
    <t>14-16</t>
  </si>
  <si>
    <t>13-15</t>
  </si>
  <si>
    <t>19-20</t>
  </si>
  <si>
    <t>Balázs Treszner Tímea</t>
  </si>
  <si>
    <t>Sakkmed</t>
  </si>
  <si>
    <t>16-18</t>
  </si>
  <si>
    <t>9.-11</t>
  </si>
  <si>
    <t>10.-12</t>
  </si>
  <si>
    <t>11.,12</t>
  </si>
  <si>
    <t>23-27</t>
  </si>
  <si>
    <t>Csomor Tamás</t>
  </si>
  <si>
    <t>20,21,22</t>
  </si>
  <si>
    <t>Szelei Stefánia</t>
  </si>
  <si>
    <t>Tóth Gábor</t>
  </si>
  <si>
    <t>táppénz</t>
  </si>
  <si>
    <t>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</si>
</sst>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yy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rgb="FF222222"/>
      <name val="Calibri"/>
      <family val="2"/>
      <charset val="238"/>
    </font>
    <font>
      <sz val="11"/>
      <color theme="1"/>
      <name val="Times New Roman"/>
      <family val="1"/>
      <charset val="238"/>
    </font>
    <font>
      <sz val="11"/>
      <color rgb="FF0C0C0C"/>
      <name val="Calibri"/>
      <family val="2"/>
      <charset val="238"/>
    </font>
    <font>
      <b/>
      <sz val="13"/>
      <color theme="1"/>
      <name val="Calibri"/>
      <family val="2"/>
      <charset val="238"/>
    </font>
    <font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0C0C0C"/>
        <bgColor rgb="FF0C0C0C"/>
      </patternFill>
    </fill>
    <fill>
      <patternFill patternType="solid">
        <fgColor rgb="FF262626"/>
        <bgColor rgb="FF262626"/>
      </patternFill>
    </fill>
    <fill>
      <patternFill patternType="solid">
        <fgColor rgb="FF595959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7F7F7F"/>
        <bgColor rgb="FF7F7F7F"/>
      </patternFill>
    </fill>
    <fill>
      <patternFill patternType="solid">
        <fgColor rgb="FF3F3F3F"/>
        <bgColor rgb="FF3F3F3F"/>
      </patternFill>
    </fill>
    <fill>
      <patternFill patternType="solid">
        <fgColor rgb="FF953734"/>
        <bgColor rgb="FF953734"/>
      </patternFill>
    </fill>
    <fill>
      <patternFill patternType="solid">
        <fgColor rgb="FF494429"/>
        <bgColor rgb="FF494429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/>
    <xf numFmtId="0" fontId="4" fillId="2" borderId="0" xfId="0" applyFont="1" applyFill="1"/>
    <xf numFmtId="0" fontId="3" fillId="2" borderId="4" xfId="0" applyFont="1" applyFill="1" applyBorder="1"/>
    <xf numFmtId="0" fontId="3" fillId="3" borderId="0" xfId="0" applyFont="1" applyFill="1"/>
    <xf numFmtId="0" fontId="4" fillId="3" borderId="0" xfId="0" applyFont="1" applyFill="1"/>
    <xf numFmtId="164" fontId="5" fillId="0" borderId="0" xfId="0" applyNumberFormat="1" applyFont="1"/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2" fillId="0" borderId="7" xfId="0" applyFont="1" applyBorder="1"/>
    <xf numFmtId="0" fontId="3" fillId="4" borderId="4" xfId="0" applyFont="1" applyFill="1" applyBorder="1"/>
    <xf numFmtId="0" fontId="3" fillId="5" borderId="4" xfId="0" applyFont="1" applyFill="1" applyBorder="1"/>
    <xf numFmtId="0" fontId="3" fillId="3" borderId="4" xfId="0" applyFont="1" applyFill="1" applyBorder="1"/>
    <xf numFmtId="0" fontId="3" fillId="6" borderId="4" xfId="0" applyFont="1" applyFill="1" applyBorder="1"/>
    <xf numFmtId="0" fontId="6" fillId="0" borderId="0" xfId="0" applyFont="1"/>
    <xf numFmtId="0" fontId="6" fillId="0" borderId="0" xfId="0" applyFont="1" applyAlignment="1">
      <alignment horizontal="right"/>
    </xf>
    <xf numFmtId="3" fontId="6" fillId="0" borderId="0" xfId="0" applyNumberFormat="1" applyFont="1"/>
    <xf numFmtId="3" fontId="6" fillId="0" borderId="0" xfId="0" applyNumberFormat="1" applyFont="1" applyAlignment="1">
      <alignment horizontal="right"/>
    </xf>
    <xf numFmtId="3" fontId="3" fillId="0" borderId="0" xfId="0" applyNumberFormat="1" applyFont="1"/>
    <xf numFmtId="0" fontId="2" fillId="0" borderId="8" xfId="0" applyFont="1" applyBorder="1"/>
    <xf numFmtId="0" fontId="2" fillId="0" borderId="9" xfId="0" applyFont="1" applyBorder="1"/>
    <xf numFmtId="0" fontId="3" fillId="0" borderId="1" xfId="0" applyFont="1" applyBorder="1"/>
    <xf numFmtId="0" fontId="3" fillId="0" borderId="8" xfId="0" applyFont="1" applyBorder="1"/>
    <xf numFmtId="0" fontId="3" fillId="7" borderId="1" xfId="0" applyFont="1" applyFill="1" applyBorder="1"/>
    <xf numFmtId="0" fontId="2" fillId="7" borderId="1" xfId="0" applyFont="1" applyFill="1" applyBorder="1"/>
    <xf numFmtId="16" fontId="3" fillId="0" borderId="0" xfId="0" applyNumberFormat="1" applyFont="1"/>
    <xf numFmtId="0" fontId="2" fillId="0" borderId="10" xfId="0" applyFont="1" applyBorder="1"/>
    <xf numFmtId="0" fontId="7" fillId="0" borderId="0" xfId="0" applyFont="1" applyAlignment="1">
      <alignment horizontal="right"/>
    </xf>
    <xf numFmtId="14" fontId="3" fillId="0" borderId="0" xfId="0" applyNumberFormat="1" applyFont="1"/>
    <xf numFmtId="0" fontId="2" fillId="2" borderId="1" xfId="0" applyFont="1" applyFill="1" applyBorder="1"/>
    <xf numFmtId="0" fontId="2" fillId="2" borderId="11" xfId="0" applyFont="1" applyFill="1" applyBorder="1"/>
    <xf numFmtId="0" fontId="3" fillId="2" borderId="1" xfId="0" applyFont="1" applyFill="1" applyBorder="1"/>
    <xf numFmtId="0" fontId="3" fillId="8" borderId="1" xfId="0" applyFont="1" applyFill="1" applyBorder="1"/>
    <xf numFmtId="0" fontId="8" fillId="2" borderId="1" xfId="0" applyFont="1" applyFill="1" applyBorder="1"/>
    <xf numFmtId="0" fontId="3" fillId="9" borderId="1" xfId="0" applyFont="1" applyFill="1" applyBorder="1"/>
    <xf numFmtId="0" fontId="2" fillId="0" borderId="12" xfId="0" applyFont="1" applyBorder="1"/>
    <xf numFmtId="0" fontId="3" fillId="0" borderId="2" xfId="0" applyFont="1" applyBorder="1"/>
    <xf numFmtId="0" fontId="3" fillId="12" borderId="1" xfId="0" applyFont="1" applyFill="1" applyBorder="1"/>
    <xf numFmtId="0" fontId="2" fillId="12" borderId="1" xfId="0" applyFont="1" applyFill="1" applyBorder="1"/>
    <xf numFmtId="0" fontId="3" fillId="12" borderId="4" xfId="0" applyFont="1" applyFill="1" applyBorder="1"/>
    <xf numFmtId="0" fontId="3" fillId="0" borderId="15" xfId="0" applyFont="1" applyBorder="1"/>
    <xf numFmtId="0" fontId="2" fillId="12" borderId="16" xfId="0" applyFont="1" applyFill="1" applyBorder="1"/>
    <xf numFmtId="0" fontId="3" fillId="12" borderId="17" xfId="0" applyFont="1" applyFill="1" applyBorder="1"/>
    <xf numFmtId="0" fontId="3" fillId="12" borderId="11" xfId="0" applyFont="1" applyFill="1" applyBorder="1"/>
    <xf numFmtId="0" fontId="3" fillId="0" borderId="18" xfId="0" applyFont="1" applyBorder="1"/>
    <xf numFmtId="0" fontId="2" fillId="12" borderId="7" xfId="0" applyFont="1" applyFill="1" applyBorder="1"/>
    <xf numFmtId="0" fontId="3" fillId="12" borderId="18" xfId="0" applyFont="1" applyFill="1" applyBorder="1"/>
    <xf numFmtId="0" fontId="2" fillId="12" borderId="19" xfId="0" applyFont="1" applyFill="1" applyBorder="1"/>
    <xf numFmtId="0" fontId="3" fillId="12" borderId="20" xfId="0" applyFont="1" applyFill="1" applyBorder="1"/>
    <xf numFmtId="0" fontId="2" fillId="12" borderId="11" xfId="0" applyFont="1" applyFill="1" applyBorder="1"/>
    <xf numFmtId="0" fontId="2" fillId="0" borderId="19" xfId="0" applyFont="1" applyBorder="1"/>
    <xf numFmtId="0" fontId="3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3" fillId="0" borderId="24" xfId="0" applyFont="1" applyBorder="1"/>
    <xf numFmtId="0" fontId="2" fillId="0" borderId="25" xfId="0" applyFont="1" applyBorder="1"/>
    <xf numFmtId="0" fontId="3" fillId="0" borderId="26" xfId="0" applyFont="1" applyBorder="1"/>
    <xf numFmtId="0" fontId="3" fillId="13" borderId="1" xfId="0" applyFont="1" applyFill="1" applyBorder="1"/>
    <xf numFmtId="0" fontId="2" fillId="0" borderId="27" xfId="0" applyFont="1" applyBorder="1"/>
    <xf numFmtId="0" fontId="3" fillId="0" borderId="28" xfId="0" applyFont="1" applyBorder="1"/>
    <xf numFmtId="0" fontId="2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0" fontId="2" fillId="14" borderId="32" xfId="0" applyFont="1" applyFill="1" applyBorder="1"/>
    <xf numFmtId="0" fontId="3" fillId="14" borderId="1" xfId="0" applyFont="1" applyFill="1" applyBorder="1"/>
    <xf numFmtId="0" fontId="2" fillId="0" borderId="33" xfId="0" applyFont="1" applyBorder="1"/>
    <xf numFmtId="0" fontId="3" fillId="0" borderId="34" xfId="0" applyFont="1" applyBorder="1"/>
    <xf numFmtId="0" fontId="3" fillId="0" borderId="0" xfId="0" applyFont="1" applyAlignment="1">
      <alignment wrapText="1"/>
    </xf>
    <xf numFmtId="0" fontId="3" fillId="15" borderId="1" xfId="0" applyFont="1" applyFill="1" applyBorder="1"/>
    <xf numFmtId="0" fontId="3" fillId="2" borderId="14" xfId="0" applyFont="1" applyFill="1" applyBorder="1"/>
    <xf numFmtId="16" fontId="0" fillId="0" borderId="0" xfId="0" applyNumberFormat="1"/>
    <xf numFmtId="0" fontId="0" fillId="16" borderId="0" xfId="0" applyFill="1"/>
    <xf numFmtId="0" fontId="3" fillId="0" borderId="14" xfId="0" applyFont="1" applyBorder="1"/>
    <xf numFmtId="0" fontId="0" fillId="17" borderId="0" xfId="0" applyFill="1"/>
    <xf numFmtId="15" fontId="0" fillId="0" borderId="0" xfId="0" applyNumberFormat="1"/>
    <xf numFmtId="0" fontId="2" fillId="0" borderId="35" xfId="0" applyFont="1" applyBorder="1"/>
    <xf numFmtId="0" fontId="0" fillId="0" borderId="35" xfId="0" applyBorder="1"/>
    <xf numFmtId="0" fontId="2" fillId="0" borderId="16" xfId="0" applyFont="1" applyBorder="1"/>
    <xf numFmtId="0" fontId="3" fillId="17" borderId="0" xfId="0" applyFont="1" applyFill="1"/>
    <xf numFmtId="0" fontId="4" fillId="17" borderId="0" xfId="0" applyFont="1" applyFill="1"/>
    <xf numFmtId="0" fontId="5" fillId="17" borderId="0" xfId="0" applyFont="1" applyFill="1"/>
    <xf numFmtId="0" fontId="3" fillId="17" borderId="14" xfId="0" applyFont="1" applyFill="1" applyBorder="1"/>
    <xf numFmtId="0" fontId="0" fillId="17" borderId="35" xfId="0" applyFill="1" applyBorder="1"/>
    <xf numFmtId="0" fontId="11" fillId="0" borderId="35" xfId="0" applyFont="1" applyBorder="1"/>
    <xf numFmtId="16" fontId="0" fillId="0" borderId="35" xfId="0" applyNumberFormat="1" applyBorder="1"/>
    <xf numFmtId="0" fontId="1" fillId="0" borderId="35" xfId="0" applyFont="1" applyBorder="1" applyAlignment="1">
      <alignment horizontal="center"/>
    </xf>
    <xf numFmtId="0" fontId="0" fillId="0" borderId="35" xfId="0" applyBorder="1" applyAlignment="1">
      <alignment horizontal="center"/>
    </xf>
    <xf numFmtId="16" fontId="1" fillId="0" borderId="35" xfId="0" applyNumberFormat="1" applyFont="1" applyBorder="1" applyAlignment="1">
      <alignment horizontal="center"/>
    </xf>
    <xf numFmtId="0" fontId="0" fillId="0" borderId="35" xfId="0" quotePrefix="1" applyBorder="1"/>
    <xf numFmtId="0" fontId="1" fillId="17" borderId="35" xfId="0" applyFont="1" applyFill="1" applyBorder="1" applyAlignment="1">
      <alignment horizontal="center"/>
    </xf>
    <xf numFmtId="0" fontId="9" fillId="10" borderId="13" xfId="0" applyFont="1" applyFill="1" applyBorder="1" applyAlignment="1">
      <alignment horizontal="center"/>
    </xf>
    <xf numFmtId="0" fontId="10" fillId="0" borderId="14" xfId="0" applyFont="1" applyBorder="1"/>
    <xf numFmtId="0" fontId="9" fillId="11" borderId="13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
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
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
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
<Relationships xmlns="http://schemas.openxmlformats.org/package/2006/relationships"><Relationship Id="rId1" Type="http://customschemas.google.com/relationships/workbookmetadata" Target="commentsmeta1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138CD-BDF1-4BEB-8287-951FCBC50C45}">
  <dimension ref="A1:AA21"/>
  <sheetViews>
    <sheetView tabSelected="1" workbookViewId="0">
      <selection activeCell="I3" sqref="I3"/>
    </sheetView>
  </sheetViews>
  <sheetFormatPr defaultRowHeight="14.4" x14ac:dyDescent="0.3"/>
  <cols>
    <col min="1" max="1" width="21.77734375" bestFit="1" customWidth="1"/>
    <col min="3" max="3" width="2" bestFit="1" customWidth="1"/>
    <col min="4" max="4" width="6.5546875" bestFit="1" customWidth="1"/>
    <col min="5" max="5" width="3.109375" customWidth="1"/>
    <col min="7" max="7" width="3.33203125" customWidth="1"/>
    <col min="9" max="9" width="2.88671875" customWidth="1"/>
    <col min="11" max="11" width="3.44140625" customWidth="1"/>
    <col min="13" max="13" width="3.109375" customWidth="1"/>
    <col min="15" max="15" width="3.33203125" customWidth="1"/>
    <col min="17" max="17" width="2.5546875" customWidth="1"/>
    <col min="19" max="19" width="3.33203125" customWidth="1"/>
    <col min="20" max="20" width="9" customWidth="1"/>
    <col min="21" max="21" width="3.33203125" customWidth="1"/>
    <col min="23" max="23" width="3.44140625" customWidth="1"/>
    <col min="24" max="24" width="9.5546875" bestFit="1" customWidth="1"/>
    <col min="25" max="25" width="3.21875" customWidth="1"/>
  </cols>
  <sheetData>
    <row r="1" spans="1:27" x14ac:dyDescent="0.3">
      <c r="A1" s="83" t="s">
        <v>199</v>
      </c>
      <c r="B1" s="83" t="s">
        <v>14</v>
      </c>
      <c r="C1" s="83"/>
      <c r="D1" s="91" t="s">
        <v>2</v>
      </c>
      <c r="E1" s="91"/>
      <c r="F1" s="91" t="s">
        <v>3</v>
      </c>
      <c r="G1" s="91"/>
      <c r="H1" s="91" t="s">
        <v>4</v>
      </c>
      <c r="I1" s="91"/>
      <c r="J1" s="91" t="s">
        <v>5</v>
      </c>
      <c r="K1" s="91"/>
      <c r="L1" s="91" t="s">
        <v>6</v>
      </c>
      <c r="M1" s="91"/>
      <c r="N1" s="91" t="s">
        <v>192</v>
      </c>
      <c r="O1" s="91"/>
      <c r="P1" s="91" t="s">
        <v>8</v>
      </c>
      <c r="Q1" s="91"/>
      <c r="R1" s="91" t="s">
        <v>9</v>
      </c>
      <c r="S1" s="91"/>
      <c r="T1" s="91" t="s">
        <v>10</v>
      </c>
      <c r="U1" s="91"/>
      <c r="V1" s="91" t="s">
        <v>11</v>
      </c>
      <c r="W1" s="91"/>
      <c r="X1" s="91" t="s">
        <v>12</v>
      </c>
      <c r="Y1" s="91"/>
      <c r="Z1" s="91" t="s">
        <v>13</v>
      </c>
      <c r="AA1" s="91" t="s">
        <v>14</v>
      </c>
    </row>
    <row r="2" spans="1:27" x14ac:dyDescent="0.3">
      <c r="A2" s="83" t="s">
        <v>15</v>
      </c>
      <c r="B2" s="84">
        <v>39</v>
      </c>
      <c r="C2" s="84">
        <v>3</v>
      </c>
      <c r="D2" s="93" t="s">
        <v>193</v>
      </c>
      <c r="E2" s="84">
        <v>4</v>
      </c>
      <c r="F2" s="84" t="s">
        <v>158</v>
      </c>
      <c r="G2" s="84">
        <v>3</v>
      </c>
      <c r="H2" s="84" t="s">
        <v>200</v>
      </c>
      <c r="I2" s="84">
        <v>4</v>
      </c>
      <c r="J2" s="96" t="s">
        <v>210</v>
      </c>
      <c r="K2" s="84">
        <v>0</v>
      </c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>
        <f>B2-C2-E2-G2-I2-K2-M2-O2-Q2-S2-U2-W2-Y2</f>
        <v>25</v>
      </c>
    </row>
    <row r="3" spans="1:27" x14ac:dyDescent="0.3">
      <c r="A3" s="83" t="s">
        <v>198</v>
      </c>
      <c r="B3" s="84">
        <v>27</v>
      </c>
      <c r="C3" s="84">
        <v>0</v>
      </c>
      <c r="D3" s="93"/>
      <c r="E3" s="84">
        <v>4</v>
      </c>
      <c r="F3" s="84" t="s">
        <v>158</v>
      </c>
      <c r="G3" s="84">
        <v>0</v>
      </c>
      <c r="H3" s="84"/>
      <c r="I3" s="84">
        <v>0</v>
      </c>
      <c r="J3" s="84" t="s">
        <v>209</v>
      </c>
      <c r="K3" s="84">
        <v>0</v>
      </c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>
        <f>B3-C3-E3-G3-I3-K3-M3-O3-Q3-S3-U3-W3-Y3</f>
        <v>23</v>
      </c>
    </row>
    <row r="4" spans="1:27" x14ac:dyDescent="0.3">
      <c r="A4" s="83" t="s">
        <v>17</v>
      </c>
      <c r="B4" s="84">
        <v>20</v>
      </c>
      <c r="C4" s="84">
        <v>2</v>
      </c>
      <c r="D4" s="94">
        <v>21.22</v>
      </c>
      <c r="E4" s="84">
        <v>0</v>
      </c>
      <c r="F4" s="84"/>
      <c r="G4" s="84">
        <v>0</v>
      </c>
      <c r="H4" s="84"/>
      <c r="I4" s="84">
        <v>2</v>
      </c>
      <c r="J4" s="84">
        <v>13.14</v>
      </c>
      <c r="K4" s="84">
        <v>1</v>
      </c>
      <c r="L4" s="84">
        <v>20</v>
      </c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>
        <f t="shared" ref="AA4:AA21" si="0">B4-C4-E4-G4-I4-K4-M4-O4-Q4-S4-U4-W4-Y4</f>
        <v>15</v>
      </c>
    </row>
    <row r="5" spans="1:27" x14ac:dyDescent="0.3">
      <c r="A5" s="83" t="s">
        <v>20</v>
      </c>
      <c r="B5" s="84">
        <v>35</v>
      </c>
      <c r="C5" s="84">
        <v>3</v>
      </c>
      <c r="D5" s="95" t="s">
        <v>194</v>
      </c>
      <c r="E5" s="84">
        <v>3</v>
      </c>
      <c r="F5" s="92" t="s">
        <v>201</v>
      </c>
      <c r="G5" s="84">
        <v>5</v>
      </c>
      <c r="H5" s="92" t="s">
        <v>204</v>
      </c>
      <c r="I5" s="84">
        <v>0</v>
      </c>
      <c r="J5" s="84" t="s">
        <v>209</v>
      </c>
      <c r="K5" s="84">
        <v>0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>
        <f t="shared" si="0"/>
        <v>24</v>
      </c>
    </row>
    <row r="6" spans="1:27" x14ac:dyDescent="0.3">
      <c r="A6" s="83" t="s">
        <v>22</v>
      </c>
      <c r="B6" s="84">
        <v>33</v>
      </c>
      <c r="C6" s="84">
        <v>3</v>
      </c>
      <c r="D6" s="93" t="s">
        <v>195</v>
      </c>
      <c r="E6" s="84">
        <v>3</v>
      </c>
      <c r="F6" s="84" t="s">
        <v>200</v>
      </c>
      <c r="G6" s="84">
        <v>2</v>
      </c>
      <c r="H6" s="84">
        <v>23.24</v>
      </c>
      <c r="I6" s="84">
        <v>3</v>
      </c>
      <c r="J6" s="84" t="s">
        <v>206</v>
      </c>
      <c r="K6" s="84">
        <v>0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>
        <f t="shared" si="0"/>
        <v>22</v>
      </c>
    </row>
    <row r="7" spans="1:27" x14ac:dyDescent="0.3">
      <c r="A7" s="83" t="s">
        <v>23</v>
      </c>
      <c r="B7" s="84">
        <v>33</v>
      </c>
      <c r="C7" s="84">
        <v>2</v>
      </c>
      <c r="D7" s="94">
        <v>8.9</v>
      </c>
      <c r="E7" s="84">
        <v>2</v>
      </c>
      <c r="F7" s="84">
        <v>2.2999999999999998</v>
      </c>
      <c r="G7" s="84">
        <v>0</v>
      </c>
      <c r="H7" s="84"/>
      <c r="I7" s="84">
        <v>2</v>
      </c>
      <c r="J7" s="84">
        <v>1.2</v>
      </c>
      <c r="K7" s="84">
        <v>1</v>
      </c>
      <c r="L7" s="84">
        <v>27</v>
      </c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>
        <f t="shared" si="0"/>
        <v>26</v>
      </c>
    </row>
    <row r="8" spans="1:27" x14ac:dyDescent="0.3">
      <c r="A8" s="83" t="s">
        <v>187</v>
      </c>
      <c r="B8" s="84">
        <v>22</v>
      </c>
      <c r="C8" s="84">
        <v>0</v>
      </c>
      <c r="D8" s="94"/>
      <c r="E8" s="84">
        <v>2</v>
      </c>
      <c r="F8" s="92" t="s">
        <v>203</v>
      </c>
      <c r="G8" s="84">
        <v>0</v>
      </c>
      <c r="H8" s="84"/>
      <c r="I8" s="84">
        <v>2</v>
      </c>
      <c r="J8" s="84">
        <v>15.16</v>
      </c>
      <c r="K8" s="84">
        <v>0</v>
      </c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>
        <f t="shared" si="0"/>
        <v>18</v>
      </c>
    </row>
    <row r="9" spans="1:27" x14ac:dyDescent="0.3">
      <c r="A9" s="83" t="s">
        <v>135</v>
      </c>
      <c r="B9" s="84">
        <v>21</v>
      </c>
      <c r="C9" s="84">
        <v>0</v>
      </c>
      <c r="D9" s="94"/>
      <c r="E9" s="84">
        <v>3</v>
      </c>
      <c r="F9" s="84" t="s">
        <v>202</v>
      </c>
      <c r="G9" s="84">
        <v>2</v>
      </c>
      <c r="H9" s="84">
        <v>26.27</v>
      </c>
      <c r="I9" s="84">
        <v>0</v>
      </c>
      <c r="J9" s="84"/>
      <c r="K9" s="84">
        <v>0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>
        <f t="shared" si="0"/>
        <v>16</v>
      </c>
    </row>
    <row r="10" spans="1:27" x14ac:dyDescent="0.3">
      <c r="A10" s="83" t="s">
        <v>24</v>
      </c>
      <c r="B10" s="84">
        <v>30</v>
      </c>
      <c r="C10" s="84">
        <v>3</v>
      </c>
      <c r="D10" s="93" t="s">
        <v>196</v>
      </c>
      <c r="E10" s="84">
        <v>0</v>
      </c>
      <c r="F10" s="84"/>
      <c r="G10" s="84">
        <v>0</v>
      </c>
      <c r="H10" s="84"/>
      <c r="I10" s="84">
        <v>0</v>
      </c>
      <c r="J10" s="84"/>
      <c r="K10" s="84">
        <v>0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>
        <f t="shared" si="0"/>
        <v>27</v>
      </c>
    </row>
    <row r="11" spans="1:27" x14ac:dyDescent="0.3">
      <c r="A11" s="83" t="s">
        <v>28</v>
      </c>
      <c r="B11" s="84">
        <v>22</v>
      </c>
      <c r="C11" s="84">
        <v>1</v>
      </c>
      <c r="D11" s="94">
        <v>19</v>
      </c>
      <c r="E11" s="84">
        <v>0</v>
      </c>
      <c r="F11" s="84"/>
      <c r="G11" s="84">
        <v>0</v>
      </c>
      <c r="H11" s="84"/>
      <c r="I11" s="84">
        <v>0</v>
      </c>
      <c r="J11" s="84"/>
      <c r="K11" s="84">
        <v>1</v>
      </c>
      <c r="L11" s="84">
        <v>15</v>
      </c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>
        <f t="shared" si="0"/>
        <v>20</v>
      </c>
    </row>
    <row r="12" spans="1:27" x14ac:dyDescent="0.3">
      <c r="A12" s="83" t="s">
        <v>155</v>
      </c>
      <c r="B12" s="84">
        <v>23</v>
      </c>
      <c r="C12" s="84">
        <v>2</v>
      </c>
      <c r="D12" s="93" t="s">
        <v>197</v>
      </c>
      <c r="E12" s="84">
        <v>0</v>
      </c>
      <c r="F12" s="84"/>
      <c r="G12" s="84">
        <v>0</v>
      </c>
      <c r="H12" s="84"/>
      <c r="I12" s="84">
        <v>2</v>
      </c>
      <c r="J12" s="84">
        <v>23.24</v>
      </c>
      <c r="K12" s="84">
        <v>2</v>
      </c>
      <c r="L12" s="84">
        <v>14.15</v>
      </c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>
        <f t="shared" si="0"/>
        <v>17</v>
      </c>
    </row>
    <row r="13" spans="1:27" x14ac:dyDescent="0.3">
      <c r="A13" s="84"/>
      <c r="B13" s="84"/>
      <c r="C13" s="84"/>
      <c r="D13" s="9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</row>
    <row r="14" spans="1:27" x14ac:dyDescent="0.3">
      <c r="A14" s="83" t="s">
        <v>30</v>
      </c>
      <c r="B14" s="83" t="s">
        <v>14</v>
      </c>
      <c r="C14" s="83"/>
      <c r="D14" s="9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</row>
    <row r="15" spans="1:27" x14ac:dyDescent="0.3">
      <c r="A15" s="83" t="s">
        <v>20</v>
      </c>
      <c r="B15" s="84">
        <v>35</v>
      </c>
      <c r="C15" s="84">
        <v>3</v>
      </c>
      <c r="D15" s="93" t="s">
        <v>194</v>
      </c>
      <c r="E15" s="84">
        <v>3</v>
      </c>
      <c r="F15" s="84" t="s">
        <v>201</v>
      </c>
      <c r="G15" s="84">
        <v>5</v>
      </c>
      <c r="H15" s="84" t="s">
        <v>204</v>
      </c>
      <c r="I15" s="84">
        <v>0</v>
      </c>
      <c r="J15" s="84" t="s">
        <v>209</v>
      </c>
      <c r="K15" s="84">
        <v>0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>
        <f t="shared" si="0"/>
        <v>24</v>
      </c>
    </row>
    <row r="16" spans="1:27" x14ac:dyDescent="0.3">
      <c r="A16" s="83" t="s">
        <v>207</v>
      </c>
      <c r="B16" s="84"/>
      <c r="C16" s="90"/>
      <c r="D16" s="97"/>
      <c r="E16" s="90"/>
      <c r="F16" s="90"/>
      <c r="G16" s="90"/>
      <c r="H16" s="90"/>
      <c r="I16" s="90"/>
      <c r="J16" s="90"/>
      <c r="K16" s="84">
        <v>0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>
        <f t="shared" si="0"/>
        <v>0</v>
      </c>
    </row>
    <row r="17" spans="1:27" x14ac:dyDescent="0.3">
      <c r="A17" s="83" t="s">
        <v>208</v>
      </c>
      <c r="B17" s="84"/>
      <c r="C17" s="90"/>
      <c r="D17" s="97"/>
      <c r="E17" s="90"/>
      <c r="F17" s="90"/>
      <c r="G17" s="90"/>
      <c r="H17" s="90"/>
      <c r="I17" s="90"/>
      <c r="J17" s="90"/>
      <c r="K17" s="84">
        <v>0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>
        <f t="shared" si="0"/>
        <v>0</v>
      </c>
    </row>
    <row r="18" spans="1:27" x14ac:dyDescent="0.3">
      <c r="A18" s="84"/>
      <c r="B18" s="84"/>
      <c r="C18" s="84"/>
      <c r="D18" s="9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</row>
    <row r="19" spans="1:27" x14ac:dyDescent="0.3">
      <c r="A19" s="83" t="s">
        <v>133</v>
      </c>
      <c r="B19" s="83" t="s">
        <v>14</v>
      </c>
      <c r="C19" s="83"/>
      <c r="D19" s="9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</row>
    <row r="20" spans="1:27" x14ac:dyDescent="0.3">
      <c r="A20" s="91" t="s">
        <v>155</v>
      </c>
      <c r="B20" s="84">
        <v>22</v>
      </c>
      <c r="C20" s="84">
        <v>2</v>
      </c>
      <c r="D20" s="93" t="s">
        <v>197</v>
      </c>
      <c r="E20" s="84">
        <v>0</v>
      </c>
      <c r="F20" s="84"/>
      <c r="G20" s="84">
        <v>0</v>
      </c>
      <c r="H20" s="84"/>
      <c r="I20" s="84">
        <v>2</v>
      </c>
      <c r="J20" s="84">
        <v>23.24</v>
      </c>
      <c r="K20" s="84">
        <v>2</v>
      </c>
      <c r="L20" s="84">
        <v>14.15</v>
      </c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>
        <f t="shared" si="0"/>
        <v>16</v>
      </c>
    </row>
    <row r="21" spans="1:27" x14ac:dyDescent="0.3">
      <c r="A21" s="91" t="s">
        <v>205</v>
      </c>
      <c r="B21" s="84">
        <v>24</v>
      </c>
      <c r="C21" s="90"/>
      <c r="D21" s="90"/>
      <c r="E21" s="90"/>
      <c r="F21" s="90"/>
      <c r="G21" s="84">
        <v>0</v>
      </c>
      <c r="H21" s="84"/>
      <c r="I21" s="84">
        <v>4</v>
      </c>
      <c r="J21" s="84" t="s">
        <v>177</v>
      </c>
      <c r="K21" s="84">
        <v>0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>
        <f t="shared" si="0"/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8939-ECAB-481E-A104-082EA7C388E5}">
  <dimension ref="A1:AA21"/>
  <sheetViews>
    <sheetView topLeftCell="F1" workbookViewId="0">
      <selection activeCell="G27" sqref="G27"/>
    </sheetView>
  </sheetViews>
  <sheetFormatPr defaultRowHeight="14.4" x14ac:dyDescent="0.3"/>
  <cols>
    <col min="1" max="1" width="21.77734375" bestFit="1" customWidth="1"/>
    <col min="4" max="4" width="11.77734375" bestFit="1" customWidth="1"/>
    <col min="8" max="8" width="10.33203125" bestFit="1" customWidth="1"/>
    <col min="26" max="26" width="16.88671875" bestFit="1" customWidth="1"/>
  </cols>
  <sheetData>
    <row r="1" spans="1:27" x14ac:dyDescent="0.3">
      <c r="A1" s="83"/>
      <c r="B1" s="83" t="s">
        <v>14</v>
      </c>
      <c r="C1" s="83" t="s">
        <v>2</v>
      </c>
      <c r="D1" s="83"/>
      <c r="E1" s="83" t="s">
        <v>3</v>
      </c>
      <c r="F1" s="83"/>
      <c r="G1" s="83" t="s">
        <v>4</v>
      </c>
      <c r="H1" s="83"/>
      <c r="I1" s="83" t="s">
        <v>5</v>
      </c>
      <c r="J1" s="83"/>
      <c r="K1" s="83" t="s">
        <v>6</v>
      </c>
      <c r="L1" s="83"/>
      <c r="M1" s="83" t="s">
        <v>7</v>
      </c>
      <c r="N1" s="83"/>
      <c r="O1" s="83" t="s">
        <v>8</v>
      </c>
      <c r="P1" s="83"/>
      <c r="Q1" s="83" t="s">
        <v>9</v>
      </c>
      <c r="R1" s="83"/>
      <c r="S1" s="83" t="s">
        <v>10</v>
      </c>
      <c r="T1" s="83"/>
      <c r="U1" s="83" t="s">
        <v>11</v>
      </c>
      <c r="V1" s="83"/>
      <c r="W1" s="83" t="s">
        <v>12</v>
      </c>
      <c r="X1" s="83"/>
      <c r="Y1" s="83" t="s">
        <v>13</v>
      </c>
      <c r="Z1" s="83"/>
      <c r="AA1" s="83" t="s">
        <v>14</v>
      </c>
    </row>
    <row r="2" spans="1:27" x14ac:dyDescent="0.3">
      <c r="A2" s="83" t="s">
        <v>15</v>
      </c>
      <c r="B2" s="84">
        <v>38</v>
      </c>
      <c r="C2" s="84">
        <v>3</v>
      </c>
      <c r="D2" s="84" t="s">
        <v>145</v>
      </c>
      <c r="E2" s="84">
        <v>4</v>
      </c>
      <c r="F2" s="84" t="s">
        <v>148</v>
      </c>
      <c r="G2" s="84">
        <v>4</v>
      </c>
      <c r="H2" s="84" t="s">
        <v>156</v>
      </c>
      <c r="I2" s="84">
        <v>2</v>
      </c>
      <c r="J2" s="84">
        <v>15.23</v>
      </c>
      <c r="K2" s="84">
        <v>2</v>
      </c>
      <c r="L2" s="84">
        <v>7.8</v>
      </c>
      <c r="M2" s="84">
        <v>5</v>
      </c>
      <c r="N2" s="84" t="s">
        <v>163</v>
      </c>
      <c r="O2" s="84">
        <v>0</v>
      </c>
      <c r="P2" s="84"/>
      <c r="Q2" s="84">
        <v>0</v>
      </c>
      <c r="R2" s="84"/>
      <c r="S2" s="84">
        <v>2</v>
      </c>
      <c r="T2" s="84">
        <v>22.23</v>
      </c>
      <c r="U2" s="84">
        <v>0</v>
      </c>
      <c r="V2" s="84"/>
      <c r="W2" s="84">
        <v>5</v>
      </c>
      <c r="X2" s="92" t="s">
        <v>180</v>
      </c>
      <c r="Y2" s="84">
        <v>7</v>
      </c>
      <c r="Z2" s="84" t="s">
        <v>188</v>
      </c>
      <c r="AA2" s="84">
        <f>B2-C2-E2-G2-I2-K2-M2-O2-Q2-S2-U2-W2-Y2</f>
        <v>4</v>
      </c>
    </row>
    <row r="3" spans="1:27" x14ac:dyDescent="0.3">
      <c r="A3" s="83" t="s">
        <v>17</v>
      </c>
      <c r="B3" s="84">
        <v>20</v>
      </c>
      <c r="C3" s="84">
        <v>0</v>
      </c>
      <c r="D3" s="84"/>
      <c r="E3" s="84">
        <v>3</v>
      </c>
      <c r="F3" s="84" t="s">
        <v>149</v>
      </c>
      <c r="G3" s="84">
        <v>1</v>
      </c>
      <c r="H3" s="84">
        <v>14</v>
      </c>
      <c r="I3" s="84">
        <v>2</v>
      </c>
      <c r="J3" s="84">
        <v>2.15</v>
      </c>
      <c r="K3" s="84">
        <v>0</v>
      </c>
      <c r="L3" s="84"/>
      <c r="M3" s="84">
        <v>0</v>
      </c>
      <c r="N3" s="84"/>
      <c r="O3" s="84">
        <v>0</v>
      </c>
      <c r="P3" s="84"/>
      <c r="Q3" s="84">
        <v>0</v>
      </c>
      <c r="R3" s="84"/>
      <c r="S3" s="84">
        <v>3</v>
      </c>
      <c r="T3" s="84" t="s">
        <v>170</v>
      </c>
      <c r="U3" s="84">
        <v>0</v>
      </c>
      <c r="V3" s="84"/>
      <c r="W3" s="84">
        <v>3</v>
      </c>
      <c r="X3" s="84" t="s">
        <v>181</v>
      </c>
      <c r="Y3" s="84">
        <v>8</v>
      </c>
      <c r="Z3" s="84" t="s">
        <v>189</v>
      </c>
      <c r="AA3" s="84">
        <f t="shared" ref="AA3:AA14" si="0">B3-C3-E3-G3-I3-K3-M3-O3-Q3-S3-U3-W3-Y3</f>
        <v>0</v>
      </c>
    </row>
    <row r="4" spans="1:27" x14ac:dyDescent="0.3">
      <c r="A4" s="83" t="s">
        <v>18</v>
      </c>
      <c r="B4" s="84">
        <v>30</v>
      </c>
      <c r="C4" s="84">
        <v>0</v>
      </c>
      <c r="D4" s="84"/>
      <c r="E4" s="84">
        <v>3</v>
      </c>
      <c r="F4" s="84" t="s">
        <v>150</v>
      </c>
      <c r="G4" s="84">
        <v>3</v>
      </c>
      <c r="H4" s="84" t="s">
        <v>157</v>
      </c>
      <c r="I4" s="84">
        <v>2</v>
      </c>
      <c r="J4" s="84">
        <v>22.23</v>
      </c>
      <c r="K4" s="84">
        <v>0</v>
      </c>
      <c r="L4" s="84"/>
      <c r="M4" s="84">
        <v>3</v>
      </c>
      <c r="N4" s="92" t="s">
        <v>165</v>
      </c>
      <c r="O4" s="84">
        <v>0</v>
      </c>
      <c r="P4" s="84"/>
      <c r="Q4" s="84">
        <v>5</v>
      </c>
      <c r="R4" s="92" t="s">
        <v>168</v>
      </c>
      <c r="S4" s="84">
        <v>0</v>
      </c>
      <c r="T4" s="84"/>
      <c r="U4" s="84">
        <v>4</v>
      </c>
      <c r="V4" s="84" t="s">
        <v>174</v>
      </c>
      <c r="W4" s="84">
        <v>10</v>
      </c>
      <c r="X4" s="92" t="s">
        <v>178</v>
      </c>
      <c r="Y4" s="84">
        <v>0</v>
      </c>
      <c r="Z4" s="84"/>
      <c r="AA4" s="84">
        <f t="shared" si="0"/>
        <v>0</v>
      </c>
    </row>
    <row r="5" spans="1:27" x14ac:dyDescent="0.3">
      <c r="A5" s="83" t="s">
        <v>20</v>
      </c>
      <c r="B5" s="84">
        <v>39</v>
      </c>
      <c r="C5" s="84">
        <v>5</v>
      </c>
      <c r="D5" s="84" t="s">
        <v>146</v>
      </c>
      <c r="E5" s="84">
        <v>3</v>
      </c>
      <c r="F5" s="84" t="s">
        <v>151</v>
      </c>
      <c r="G5" s="84">
        <v>4</v>
      </c>
      <c r="H5" s="84" t="s">
        <v>158</v>
      </c>
      <c r="I5" s="84">
        <v>2</v>
      </c>
      <c r="J5" s="84">
        <v>25.28</v>
      </c>
      <c r="K5" s="84">
        <v>2</v>
      </c>
      <c r="L5" s="84">
        <v>8.9</v>
      </c>
      <c r="M5" s="84">
        <v>0</v>
      </c>
      <c r="N5" s="84"/>
      <c r="O5" s="84">
        <v>5</v>
      </c>
      <c r="P5" s="84" t="s">
        <v>166</v>
      </c>
      <c r="Q5" s="84">
        <v>0</v>
      </c>
      <c r="R5" s="84"/>
      <c r="S5" s="84">
        <v>2</v>
      </c>
      <c r="T5" s="84">
        <v>8.9</v>
      </c>
      <c r="U5" s="84">
        <v>0</v>
      </c>
      <c r="V5" s="84"/>
      <c r="W5" s="84">
        <v>5</v>
      </c>
      <c r="X5" s="84" t="s">
        <v>182</v>
      </c>
      <c r="Y5" s="84">
        <v>10</v>
      </c>
      <c r="Z5" s="84" t="s">
        <v>190</v>
      </c>
      <c r="AA5" s="84">
        <f t="shared" si="0"/>
        <v>1</v>
      </c>
    </row>
    <row r="6" spans="1:27" x14ac:dyDescent="0.3">
      <c r="A6" s="83" t="s">
        <v>22</v>
      </c>
      <c r="B6" s="84">
        <v>32</v>
      </c>
      <c r="C6" s="84">
        <v>2</v>
      </c>
      <c r="D6" s="84">
        <v>27.28</v>
      </c>
      <c r="E6" s="84">
        <v>2</v>
      </c>
      <c r="F6" s="84">
        <v>4.18</v>
      </c>
      <c r="G6" s="84">
        <v>3</v>
      </c>
      <c r="H6" s="84" t="s">
        <v>159</v>
      </c>
      <c r="I6" s="84">
        <v>1</v>
      </c>
      <c r="J6" s="84">
        <v>23</v>
      </c>
      <c r="K6" s="84">
        <v>0</v>
      </c>
      <c r="L6" s="84"/>
      <c r="M6" s="84">
        <v>0</v>
      </c>
      <c r="N6" s="84"/>
      <c r="O6" s="84">
        <v>0</v>
      </c>
      <c r="P6" s="84"/>
      <c r="Q6" s="84">
        <v>0</v>
      </c>
      <c r="R6" s="84"/>
      <c r="S6" s="84">
        <v>5</v>
      </c>
      <c r="T6" s="84" t="s">
        <v>171</v>
      </c>
      <c r="U6" s="84">
        <v>2</v>
      </c>
      <c r="V6" s="84" t="s">
        <v>175</v>
      </c>
      <c r="W6" s="84">
        <v>4</v>
      </c>
      <c r="X6" s="84" t="s">
        <v>183</v>
      </c>
      <c r="Y6" s="84">
        <v>10</v>
      </c>
      <c r="Z6" s="84" t="s">
        <v>190</v>
      </c>
      <c r="AA6" s="84">
        <f t="shared" si="0"/>
        <v>3</v>
      </c>
    </row>
    <row r="7" spans="1:27" x14ac:dyDescent="0.3">
      <c r="A7" s="83" t="s">
        <v>23</v>
      </c>
      <c r="B7" s="84">
        <v>35</v>
      </c>
      <c r="C7" s="84">
        <v>5</v>
      </c>
      <c r="D7" s="84" t="s">
        <v>147</v>
      </c>
      <c r="E7" s="84">
        <v>3</v>
      </c>
      <c r="F7" s="84" t="s">
        <v>152</v>
      </c>
      <c r="G7" s="84">
        <v>3</v>
      </c>
      <c r="H7" s="84" t="s">
        <v>160</v>
      </c>
      <c r="I7" s="84">
        <v>1</v>
      </c>
      <c r="J7" s="84">
        <v>15</v>
      </c>
      <c r="K7" s="84">
        <v>0</v>
      </c>
      <c r="L7" s="84"/>
      <c r="M7" s="84">
        <v>0</v>
      </c>
      <c r="N7" s="84"/>
      <c r="O7" s="84">
        <v>0</v>
      </c>
      <c r="P7" s="84"/>
      <c r="Q7" s="84">
        <v>0</v>
      </c>
      <c r="R7" s="84"/>
      <c r="S7" s="84">
        <v>4</v>
      </c>
      <c r="T7" s="84" t="s">
        <v>172</v>
      </c>
      <c r="U7" s="84">
        <v>3</v>
      </c>
      <c r="V7" s="84" t="s">
        <v>176</v>
      </c>
      <c r="W7" s="84">
        <v>5</v>
      </c>
      <c r="X7" s="84" t="s">
        <v>184</v>
      </c>
      <c r="Y7" s="84">
        <v>8</v>
      </c>
      <c r="Z7" s="84" t="s">
        <v>189</v>
      </c>
      <c r="AA7" s="84">
        <f t="shared" si="0"/>
        <v>3</v>
      </c>
    </row>
    <row r="8" spans="1:27" x14ac:dyDescent="0.3">
      <c r="A8" s="83" t="s">
        <v>187</v>
      </c>
      <c r="B8" s="84">
        <v>2</v>
      </c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84">
        <v>0</v>
      </c>
      <c r="Z8" s="84"/>
      <c r="AA8" s="84"/>
    </row>
    <row r="9" spans="1:27" x14ac:dyDescent="0.3">
      <c r="A9" s="83" t="s">
        <v>135</v>
      </c>
      <c r="B9" s="84">
        <v>20</v>
      </c>
      <c r="C9" s="84">
        <v>0</v>
      </c>
      <c r="D9" s="84"/>
      <c r="E9" s="84">
        <v>2</v>
      </c>
      <c r="F9" s="84">
        <v>21.28</v>
      </c>
      <c r="G9" s="84">
        <v>2</v>
      </c>
      <c r="H9" s="84">
        <v>27.28</v>
      </c>
      <c r="I9" s="84">
        <v>1</v>
      </c>
      <c r="J9" s="84">
        <v>8</v>
      </c>
      <c r="K9" s="84">
        <v>0</v>
      </c>
      <c r="L9" s="84"/>
      <c r="M9" s="84">
        <v>4</v>
      </c>
      <c r="N9" s="92" t="s">
        <v>164</v>
      </c>
      <c r="O9" s="84">
        <v>4</v>
      </c>
      <c r="P9" s="84" t="s">
        <v>167</v>
      </c>
      <c r="Q9" s="84">
        <v>4</v>
      </c>
      <c r="R9" s="84" t="s">
        <v>169</v>
      </c>
      <c r="S9" s="84">
        <v>0</v>
      </c>
      <c r="T9" s="84"/>
      <c r="U9" s="84"/>
      <c r="V9" s="84">
        <v>0</v>
      </c>
      <c r="W9" s="84">
        <v>0</v>
      </c>
      <c r="X9" s="84"/>
      <c r="Y9" s="84">
        <v>3</v>
      </c>
      <c r="Z9" s="84" t="s">
        <v>191</v>
      </c>
      <c r="AA9" s="84">
        <f t="shared" si="0"/>
        <v>0</v>
      </c>
    </row>
    <row r="10" spans="1:27" x14ac:dyDescent="0.3">
      <c r="A10" s="83" t="s">
        <v>24</v>
      </c>
      <c r="B10" s="84">
        <v>30</v>
      </c>
      <c r="C10" s="84">
        <v>0</v>
      </c>
      <c r="D10" s="84"/>
      <c r="E10" s="84">
        <v>3</v>
      </c>
      <c r="F10" s="84" t="s">
        <v>153</v>
      </c>
      <c r="G10" s="84">
        <v>3</v>
      </c>
      <c r="H10" s="92" t="s">
        <v>161</v>
      </c>
      <c r="I10" s="84">
        <v>2</v>
      </c>
      <c r="J10" s="84">
        <v>18.21</v>
      </c>
      <c r="K10" s="84">
        <v>2</v>
      </c>
      <c r="L10" s="84">
        <v>19.2</v>
      </c>
      <c r="M10" s="84">
        <v>2</v>
      </c>
      <c r="N10" s="84">
        <v>16.170000000000002</v>
      </c>
      <c r="O10" s="84">
        <v>0</v>
      </c>
      <c r="P10" s="84"/>
      <c r="Q10" s="84">
        <v>0</v>
      </c>
      <c r="R10" s="84"/>
      <c r="S10" s="84">
        <v>3</v>
      </c>
      <c r="T10" s="84" t="s">
        <v>154</v>
      </c>
      <c r="U10" s="84">
        <v>4</v>
      </c>
      <c r="V10" s="84" t="s">
        <v>177</v>
      </c>
      <c r="W10" s="84">
        <v>3</v>
      </c>
      <c r="X10" s="84" t="s">
        <v>154</v>
      </c>
      <c r="Y10" s="84">
        <v>8</v>
      </c>
      <c r="Z10" s="84" t="s">
        <v>189</v>
      </c>
      <c r="AA10" s="84">
        <f t="shared" si="0"/>
        <v>0</v>
      </c>
    </row>
    <row r="11" spans="1:27" x14ac:dyDescent="0.3">
      <c r="A11" s="83" t="s">
        <v>26</v>
      </c>
      <c r="B11" s="84">
        <v>20</v>
      </c>
      <c r="C11" s="84">
        <v>0</v>
      </c>
      <c r="D11" s="84"/>
      <c r="E11" s="84">
        <v>2</v>
      </c>
      <c r="F11" s="84">
        <v>18.190000000000001</v>
      </c>
      <c r="G11" s="84">
        <v>2</v>
      </c>
      <c r="H11" s="84">
        <v>3.4</v>
      </c>
      <c r="I11" s="84">
        <v>2</v>
      </c>
      <c r="J11" s="84">
        <v>24.29</v>
      </c>
      <c r="K11" s="84">
        <v>0</v>
      </c>
      <c r="L11" s="84"/>
      <c r="M11" s="84">
        <v>0</v>
      </c>
      <c r="N11" s="84"/>
      <c r="O11" s="84">
        <v>0</v>
      </c>
      <c r="P11" s="84"/>
      <c r="Q11" s="84">
        <v>0</v>
      </c>
      <c r="R11" s="84"/>
      <c r="S11" s="84">
        <v>0</v>
      </c>
      <c r="T11" s="84"/>
      <c r="U11" s="84">
        <v>2</v>
      </c>
      <c r="V11" s="84">
        <v>9.1</v>
      </c>
      <c r="W11" s="84">
        <v>10</v>
      </c>
      <c r="X11" s="84" t="s">
        <v>179</v>
      </c>
      <c r="Y11" s="84">
        <v>0</v>
      </c>
      <c r="Z11" s="84"/>
      <c r="AA11" s="84">
        <f t="shared" si="0"/>
        <v>2</v>
      </c>
    </row>
    <row r="12" spans="1:27" x14ac:dyDescent="0.3">
      <c r="A12" s="83" t="s">
        <v>28</v>
      </c>
      <c r="B12" s="84">
        <v>23</v>
      </c>
      <c r="C12" s="84">
        <v>2</v>
      </c>
      <c r="D12" s="84">
        <v>10.27</v>
      </c>
      <c r="E12" s="84">
        <v>2</v>
      </c>
      <c r="F12" s="84">
        <v>24.25</v>
      </c>
      <c r="G12" s="84">
        <v>3</v>
      </c>
      <c r="H12" s="84" t="s">
        <v>154</v>
      </c>
      <c r="I12" s="84">
        <v>1</v>
      </c>
      <c r="J12" s="84">
        <v>14</v>
      </c>
      <c r="K12" s="84">
        <v>0</v>
      </c>
      <c r="L12" s="84"/>
      <c r="M12" s="84">
        <v>0</v>
      </c>
      <c r="N12" s="84"/>
      <c r="O12" s="84">
        <v>0</v>
      </c>
      <c r="P12" s="84"/>
      <c r="Q12" s="84">
        <v>0</v>
      </c>
      <c r="R12" s="84"/>
      <c r="S12" s="84">
        <v>0</v>
      </c>
      <c r="T12" s="84"/>
      <c r="U12" s="84">
        <v>0</v>
      </c>
      <c r="V12" s="84"/>
      <c r="W12" s="84">
        <v>4</v>
      </c>
      <c r="X12" s="84" t="s">
        <v>185</v>
      </c>
      <c r="Y12" s="84">
        <v>10</v>
      </c>
      <c r="Z12" s="84" t="s">
        <v>190</v>
      </c>
      <c r="AA12" s="84">
        <f t="shared" si="0"/>
        <v>1</v>
      </c>
    </row>
    <row r="13" spans="1:27" x14ac:dyDescent="0.3">
      <c r="A13" s="83" t="s">
        <v>29</v>
      </c>
      <c r="B13" s="84">
        <v>25</v>
      </c>
      <c r="C13" s="84">
        <v>2</v>
      </c>
      <c r="D13" s="84">
        <v>13.2</v>
      </c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84">
        <f t="shared" si="0"/>
        <v>23</v>
      </c>
    </row>
    <row r="14" spans="1:27" x14ac:dyDescent="0.3">
      <c r="A14" s="83" t="s">
        <v>155</v>
      </c>
      <c r="B14" s="84">
        <v>17</v>
      </c>
      <c r="C14" s="90"/>
      <c r="D14" s="90"/>
      <c r="E14" s="90"/>
      <c r="F14" s="90"/>
      <c r="G14" s="84">
        <v>0</v>
      </c>
      <c r="H14" s="84"/>
      <c r="I14" s="84"/>
      <c r="J14" s="84"/>
      <c r="K14" s="84">
        <v>0</v>
      </c>
      <c r="L14" s="84"/>
      <c r="M14" s="84">
        <v>0</v>
      </c>
      <c r="N14" s="84"/>
      <c r="O14" s="84">
        <v>0</v>
      </c>
      <c r="P14" s="84"/>
      <c r="Q14" s="84">
        <v>0</v>
      </c>
      <c r="R14" s="84"/>
      <c r="S14" s="84">
        <v>5</v>
      </c>
      <c r="T14" s="84" t="s">
        <v>173</v>
      </c>
      <c r="U14" s="84">
        <v>0</v>
      </c>
      <c r="V14" s="84"/>
      <c r="W14" s="84">
        <v>3</v>
      </c>
      <c r="X14" s="84" t="s">
        <v>186</v>
      </c>
      <c r="Y14" s="84">
        <v>8</v>
      </c>
      <c r="Z14" s="84" t="s">
        <v>189</v>
      </c>
      <c r="AA14" s="84">
        <f t="shared" si="0"/>
        <v>1</v>
      </c>
    </row>
    <row r="16" spans="1:27" x14ac:dyDescent="0.3">
      <c r="A16" s="83" t="s">
        <v>30</v>
      </c>
      <c r="B16" s="83" t="s">
        <v>14</v>
      </c>
      <c r="C16" s="83" t="s">
        <v>2</v>
      </c>
      <c r="D16" s="83"/>
      <c r="E16" s="83" t="s">
        <v>3</v>
      </c>
      <c r="F16" s="83"/>
      <c r="G16" s="83" t="s">
        <v>4</v>
      </c>
      <c r="H16" s="83"/>
      <c r="I16" s="83" t="s">
        <v>5</v>
      </c>
      <c r="J16" s="83"/>
      <c r="K16" s="83" t="s">
        <v>6</v>
      </c>
      <c r="L16" s="83"/>
      <c r="M16" s="83" t="s">
        <v>7</v>
      </c>
      <c r="N16" s="83"/>
      <c r="O16" s="83" t="s">
        <v>8</v>
      </c>
      <c r="P16" s="83"/>
      <c r="Q16" s="83" t="s">
        <v>9</v>
      </c>
      <c r="R16" s="83"/>
      <c r="S16" s="83" t="s">
        <v>10</v>
      </c>
      <c r="T16" s="83"/>
      <c r="U16" s="83" t="s">
        <v>11</v>
      </c>
      <c r="V16" s="83"/>
      <c r="W16" s="83" t="s">
        <v>12</v>
      </c>
      <c r="X16" s="83"/>
      <c r="Y16" s="83" t="s">
        <v>13</v>
      </c>
      <c r="Z16" s="83"/>
      <c r="AA16" s="83" t="s">
        <v>14</v>
      </c>
    </row>
    <row r="17" spans="1:27" x14ac:dyDescent="0.3">
      <c r="A17" s="83" t="s">
        <v>20</v>
      </c>
      <c r="B17" s="84">
        <v>39</v>
      </c>
      <c r="C17" s="84">
        <v>5</v>
      </c>
      <c r="D17" s="84" t="s">
        <v>146</v>
      </c>
      <c r="E17" s="84">
        <v>3</v>
      </c>
      <c r="F17" s="84" t="s">
        <v>151</v>
      </c>
      <c r="G17" s="84">
        <v>4</v>
      </c>
      <c r="H17" s="84" t="s">
        <v>158</v>
      </c>
      <c r="I17" s="84">
        <v>2</v>
      </c>
      <c r="J17" s="84">
        <v>25.28</v>
      </c>
      <c r="K17" s="84">
        <v>2</v>
      </c>
      <c r="L17" s="84">
        <v>8.9</v>
      </c>
      <c r="M17" s="84">
        <v>0</v>
      </c>
      <c r="N17" s="84"/>
      <c r="O17" s="84">
        <v>5</v>
      </c>
      <c r="P17" s="84" t="s">
        <v>166</v>
      </c>
      <c r="Q17" s="84">
        <v>0</v>
      </c>
      <c r="R17" s="84"/>
      <c r="S17" s="84">
        <v>2</v>
      </c>
      <c r="T17" s="84">
        <v>8.9</v>
      </c>
      <c r="U17" s="84">
        <v>0</v>
      </c>
      <c r="V17" s="84"/>
      <c r="W17" s="84">
        <v>5</v>
      </c>
      <c r="X17" s="84" t="s">
        <v>182</v>
      </c>
      <c r="Y17" s="84">
        <v>10</v>
      </c>
      <c r="Z17" s="84" t="s">
        <v>190</v>
      </c>
      <c r="AA17" s="84">
        <f>B17-C17-E17-G17-I17-K17-M17-O17-Q17-S17-U17-W17-Y17</f>
        <v>1</v>
      </c>
    </row>
    <row r="19" spans="1:27" x14ac:dyDescent="0.3">
      <c r="A19" s="83" t="s">
        <v>133</v>
      </c>
      <c r="B19" s="83" t="s">
        <v>14</v>
      </c>
      <c r="C19" s="83" t="s">
        <v>2</v>
      </c>
      <c r="D19" s="83"/>
      <c r="E19" s="83" t="s">
        <v>3</v>
      </c>
      <c r="F19" s="83"/>
      <c r="G19" s="83" t="s">
        <v>4</v>
      </c>
      <c r="H19" s="83"/>
      <c r="I19" s="83" t="s">
        <v>5</v>
      </c>
      <c r="J19" s="83"/>
      <c r="K19" s="83" t="s">
        <v>6</v>
      </c>
      <c r="L19" s="83"/>
      <c r="M19" s="83" t="s">
        <v>7</v>
      </c>
      <c r="N19" s="83"/>
      <c r="O19" s="83" t="s">
        <v>8</v>
      </c>
      <c r="P19" s="83"/>
      <c r="Q19" s="83" t="s">
        <v>9</v>
      </c>
      <c r="R19" s="83"/>
      <c r="S19" s="83" t="s">
        <v>10</v>
      </c>
      <c r="T19" s="83"/>
      <c r="U19" s="83" t="s">
        <v>11</v>
      </c>
      <c r="V19" s="83"/>
      <c r="W19" s="83" t="s">
        <v>12</v>
      </c>
      <c r="X19" s="83"/>
      <c r="Y19" s="83" t="s">
        <v>13</v>
      </c>
      <c r="Z19" s="83"/>
      <c r="AA19" s="83" t="s">
        <v>14</v>
      </c>
    </row>
    <row r="20" spans="1:27" x14ac:dyDescent="0.3">
      <c r="A20" s="83" t="s">
        <v>134</v>
      </c>
      <c r="B20" s="84">
        <v>23</v>
      </c>
      <c r="C20" s="84">
        <v>0</v>
      </c>
      <c r="D20" s="84"/>
      <c r="E20" s="84">
        <v>3</v>
      </c>
      <c r="F20" s="84" t="s">
        <v>154</v>
      </c>
      <c r="G20" s="84">
        <v>2</v>
      </c>
      <c r="H20" s="84">
        <v>18.190000000000001</v>
      </c>
      <c r="I20" s="84">
        <v>3</v>
      </c>
      <c r="J20" s="84" t="s">
        <v>162</v>
      </c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84">
        <f>B20-C20-E20-G20-I20-K20-M20-O20-Q20-S20-U20-W20-Y20</f>
        <v>15</v>
      </c>
    </row>
    <row r="21" spans="1:27" x14ac:dyDescent="0.3">
      <c r="A21" s="91" t="s">
        <v>155</v>
      </c>
      <c r="B21" s="84">
        <v>17</v>
      </c>
      <c r="C21" s="90"/>
      <c r="D21" s="90"/>
      <c r="E21" s="90"/>
      <c r="F21" s="90"/>
      <c r="G21" s="84">
        <v>0</v>
      </c>
      <c r="H21" s="84"/>
      <c r="I21" s="84">
        <v>1</v>
      </c>
      <c r="J21" s="84">
        <v>10</v>
      </c>
      <c r="K21" s="84">
        <v>0</v>
      </c>
      <c r="L21" s="84"/>
      <c r="M21" s="84">
        <v>0</v>
      </c>
      <c r="N21" s="84"/>
      <c r="O21" s="84">
        <v>0</v>
      </c>
      <c r="P21" s="84">
        <v>0</v>
      </c>
      <c r="Q21" s="84">
        <v>0</v>
      </c>
      <c r="R21" s="84"/>
      <c r="S21" s="84">
        <v>5</v>
      </c>
      <c r="T21" s="84" t="s">
        <v>173</v>
      </c>
      <c r="U21" s="84">
        <v>0</v>
      </c>
      <c r="V21" s="84"/>
      <c r="W21" s="84">
        <v>3</v>
      </c>
      <c r="X21" s="84" t="s">
        <v>186</v>
      </c>
      <c r="Y21" s="84">
        <v>8</v>
      </c>
      <c r="Z21" s="84" t="s">
        <v>189</v>
      </c>
      <c r="AA21" s="84">
        <f>B21-C21-E21-G21-I21-K21-M21-O21-Q21-S21-U21-W21-Y21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zoomScale="90" zoomScaleNormal="90" workbookViewId="0">
      <selection activeCell="D2" sqref="D2"/>
    </sheetView>
  </sheetViews>
  <sheetFormatPr defaultColWidth="14.44140625" defaultRowHeight="15" customHeight="1" x14ac:dyDescent="0.3"/>
  <cols>
    <col min="1" max="1" width="23" customWidth="1"/>
    <col min="2" max="9" width="8.6640625" customWidth="1"/>
    <col min="10" max="10" width="13.88671875" customWidth="1"/>
    <col min="11" max="12" width="8.6640625" customWidth="1"/>
    <col min="13" max="13" width="11" bestFit="1" customWidth="1"/>
    <col min="14" max="14" width="10.33203125" bestFit="1" customWidth="1"/>
    <col min="15" max="15" width="8.6640625" customWidth="1"/>
    <col min="16" max="16" width="11.44140625" bestFit="1" customWidth="1"/>
    <col min="17" max="17" width="8.6640625" customWidth="1"/>
    <col min="18" max="18" width="15.33203125" bestFit="1" customWidth="1"/>
    <col min="19" max="19" width="10.21875" bestFit="1" customWidth="1"/>
    <col min="20" max="20" width="22.33203125" bestFit="1" customWidth="1"/>
    <col min="21" max="21" width="8.6640625" customWidth="1"/>
  </cols>
  <sheetData>
    <row r="1" spans="1:21" ht="14.4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/>
      <c r="M1" s="1" t="s">
        <v>10</v>
      </c>
      <c r="N1" s="1"/>
      <c r="O1" s="1" t="s">
        <v>11</v>
      </c>
      <c r="P1" s="1"/>
      <c r="Q1" s="1" t="s">
        <v>12</v>
      </c>
      <c r="R1" s="1"/>
      <c r="S1" s="1" t="s">
        <v>13</v>
      </c>
      <c r="T1" s="1"/>
      <c r="U1" s="1" t="s">
        <v>14</v>
      </c>
    </row>
    <row r="2" spans="1:21" ht="14.4" x14ac:dyDescent="0.3">
      <c r="A2" s="3" t="s">
        <v>15</v>
      </c>
      <c r="B2" s="4">
        <v>34</v>
      </c>
      <c r="C2" s="4">
        <v>5</v>
      </c>
      <c r="D2" s="4">
        <v>3</v>
      </c>
      <c r="E2" s="4">
        <v>1</v>
      </c>
      <c r="F2" s="4">
        <v>2</v>
      </c>
      <c r="G2" s="5">
        <v>1</v>
      </c>
      <c r="H2" s="5">
        <v>2</v>
      </c>
      <c r="I2" s="6">
        <v>3</v>
      </c>
      <c r="J2" s="6" t="s">
        <v>16</v>
      </c>
      <c r="K2">
        <v>0</v>
      </c>
      <c r="M2">
        <v>2</v>
      </c>
      <c r="N2" t="s">
        <v>114</v>
      </c>
      <c r="O2">
        <v>2</v>
      </c>
      <c r="P2" t="s">
        <v>117</v>
      </c>
      <c r="Q2">
        <v>3</v>
      </c>
      <c r="R2" t="s">
        <v>123</v>
      </c>
      <c r="S2">
        <v>7</v>
      </c>
      <c r="T2" t="s">
        <v>137</v>
      </c>
      <c r="U2" s="4">
        <f>B2-C2-D2-E2-F2-G2-H2-I2-K2-M2-O2-Q2-S2</f>
        <v>3</v>
      </c>
    </row>
    <row r="3" spans="1:21" ht="14.4" x14ac:dyDescent="0.3">
      <c r="A3" s="3" t="s">
        <v>17</v>
      </c>
      <c r="B3" s="4">
        <v>11</v>
      </c>
      <c r="C3" s="7"/>
      <c r="D3" s="7"/>
      <c r="E3" s="7"/>
      <c r="F3" s="7"/>
      <c r="G3" s="8"/>
      <c r="H3" s="5">
        <v>0</v>
      </c>
      <c r="I3" s="6">
        <v>0</v>
      </c>
      <c r="K3">
        <v>0</v>
      </c>
      <c r="M3">
        <v>0</v>
      </c>
      <c r="O3">
        <v>3</v>
      </c>
      <c r="P3" t="s">
        <v>118</v>
      </c>
      <c r="Q3">
        <v>3</v>
      </c>
      <c r="R3" t="s">
        <v>124</v>
      </c>
      <c r="S3">
        <v>5</v>
      </c>
      <c r="T3" t="s">
        <v>138</v>
      </c>
      <c r="U3" s="4">
        <f>B3-H3-I3-K3-M3-O3-Q3-S3</f>
        <v>0</v>
      </c>
    </row>
    <row r="4" spans="1:21" ht="14.4" x14ac:dyDescent="0.3">
      <c r="A4" s="3" t="s">
        <v>18</v>
      </c>
      <c r="B4" s="4">
        <v>30</v>
      </c>
      <c r="C4" s="4">
        <v>6</v>
      </c>
      <c r="D4" s="4">
        <v>2</v>
      </c>
      <c r="E4" s="4">
        <v>2</v>
      </c>
      <c r="F4" s="4">
        <v>2</v>
      </c>
      <c r="G4" s="5">
        <v>2</v>
      </c>
      <c r="H4" s="5">
        <v>1</v>
      </c>
      <c r="I4" s="6">
        <v>0</v>
      </c>
      <c r="K4">
        <v>1</v>
      </c>
      <c r="L4" s="78">
        <v>45520</v>
      </c>
      <c r="M4">
        <v>2</v>
      </c>
      <c r="N4" t="s">
        <v>115</v>
      </c>
      <c r="O4">
        <v>2</v>
      </c>
      <c r="P4" t="s">
        <v>119</v>
      </c>
      <c r="Q4">
        <v>3</v>
      </c>
      <c r="R4" t="s">
        <v>125</v>
      </c>
      <c r="S4">
        <v>7</v>
      </c>
      <c r="T4" t="s">
        <v>139</v>
      </c>
      <c r="U4" s="4">
        <f t="shared" ref="U4:U12" si="0">B4-C4-D4-E4-F4-G4-H4-I4-K4-M4-O4-Q4-S4</f>
        <v>0</v>
      </c>
    </row>
    <row r="5" spans="1:21" ht="14.4" x14ac:dyDescent="0.3">
      <c r="A5" s="3" t="s">
        <v>19</v>
      </c>
      <c r="B5" s="4">
        <v>20</v>
      </c>
      <c r="C5" s="4">
        <v>5</v>
      </c>
      <c r="D5" s="9"/>
      <c r="E5" s="9"/>
      <c r="F5" s="9"/>
      <c r="G5" s="9"/>
      <c r="H5" s="9"/>
      <c r="I5" s="9"/>
      <c r="J5" s="9"/>
      <c r="K5" s="9"/>
      <c r="L5" s="77"/>
      <c r="M5" s="9"/>
      <c r="N5" s="77"/>
      <c r="O5" s="9"/>
      <c r="P5" s="77"/>
      <c r="Q5" s="9"/>
      <c r="R5" s="77"/>
      <c r="S5" s="9"/>
      <c r="T5" s="77"/>
      <c r="U5" s="9">
        <f t="shared" si="0"/>
        <v>15</v>
      </c>
    </row>
    <row r="6" spans="1:21" ht="14.4" x14ac:dyDescent="0.3">
      <c r="A6" s="3" t="s">
        <v>20</v>
      </c>
      <c r="B6" s="4">
        <v>36</v>
      </c>
      <c r="C6" s="4">
        <v>5</v>
      </c>
      <c r="D6" s="4">
        <v>1</v>
      </c>
      <c r="E6" s="4">
        <v>1</v>
      </c>
      <c r="F6" s="4">
        <v>3</v>
      </c>
      <c r="G6" s="5">
        <v>1</v>
      </c>
      <c r="H6" s="5">
        <v>1</v>
      </c>
      <c r="I6" s="6">
        <v>0</v>
      </c>
      <c r="K6">
        <v>2</v>
      </c>
      <c r="L6" t="s">
        <v>113</v>
      </c>
      <c r="M6">
        <v>1</v>
      </c>
      <c r="N6" s="78">
        <v>45562</v>
      </c>
      <c r="O6">
        <v>2</v>
      </c>
      <c r="P6" t="s">
        <v>117</v>
      </c>
      <c r="Q6">
        <v>4</v>
      </c>
      <c r="R6" t="s">
        <v>126</v>
      </c>
      <c r="S6">
        <v>10</v>
      </c>
      <c r="T6" t="s">
        <v>140</v>
      </c>
      <c r="U6" s="4">
        <f t="shared" si="0"/>
        <v>5</v>
      </c>
    </row>
    <row r="7" spans="1:21" ht="14.4" x14ac:dyDescent="0.3">
      <c r="A7" s="3" t="s">
        <v>21</v>
      </c>
      <c r="B7" s="4">
        <v>30</v>
      </c>
      <c r="C7" s="4">
        <v>7</v>
      </c>
      <c r="D7" s="4">
        <v>2</v>
      </c>
      <c r="E7" s="9"/>
      <c r="F7" s="9"/>
      <c r="G7" s="9"/>
      <c r="H7" s="9"/>
      <c r="I7" s="9"/>
      <c r="J7" s="9"/>
      <c r="K7" s="9"/>
      <c r="L7" s="77"/>
      <c r="M7" s="9"/>
      <c r="N7" s="77"/>
      <c r="O7" s="9"/>
      <c r="P7" s="77"/>
      <c r="Q7" s="9"/>
      <c r="R7" s="77"/>
      <c r="S7" s="9"/>
      <c r="T7" s="77"/>
      <c r="U7" s="9">
        <f t="shared" si="0"/>
        <v>21</v>
      </c>
    </row>
    <row r="8" spans="1:21" ht="14.4" x14ac:dyDescent="0.3">
      <c r="A8" s="3" t="s">
        <v>22</v>
      </c>
      <c r="B8" s="4">
        <v>31</v>
      </c>
      <c r="C8" s="4">
        <v>5</v>
      </c>
      <c r="D8" s="4">
        <v>2</v>
      </c>
      <c r="E8" s="4">
        <v>1</v>
      </c>
      <c r="F8" s="4">
        <v>1</v>
      </c>
      <c r="G8" s="5">
        <v>2</v>
      </c>
      <c r="H8" s="5">
        <v>2</v>
      </c>
      <c r="I8" s="6">
        <v>0</v>
      </c>
      <c r="K8">
        <v>0</v>
      </c>
      <c r="M8">
        <v>0</v>
      </c>
      <c r="O8">
        <v>2</v>
      </c>
      <c r="P8" t="s">
        <v>116</v>
      </c>
      <c r="Q8">
        <v>4</v>
      </c>
      <c r="R8" t="s">
        <v>127</v>
      </c>
      <c r="S8">
        <v>10</v>
      </c>
      <c r="T8" t="s">
        <v>140</v>
      </c>
      <c r="U8" s="4">
        <f t="shared" si="0"/>
        <v>2</v>
      </c>
    </row>
    <row r="9" spans="1:21" ht="14.4" x14ac:dyDescent="0.3">
      <c r="A9" s="3" t="s">
        <v>23</v>
      </c>
      <c r="B9" s="4">
        <v>30</v>
      </c>
      <c r="C9" s="4">
        <v>5</v>
      </c>
      <c r="D9" s="4">
        <v>1</v>
      </c>
      <c r="E9" s="4">
        <v>0</v>
      </c>
      <c r="F9" s="4">
        <v>0</v>
      </c>
      <c r="G9" s="5">
        <v>1</v>
      </c>
      <c r="H9" s="5">
        <v>1</v>
      </c>
      <c r="I9" s="6">
        <v>0</v>
      </c>
      <c r="K9" s="77">
        <v>0</v>
      </c>
      <c r="M9" s="80">
        <v>0</v>
      </c>
      <c r="O9" s="80">
        <v>3</v>
      </c>
      <c r="P9" s="80" t="s">
        <v>120</v>
      </c>
      <c r="Q9" s="80">
        <v>4</v>
      </c>
      <c r="R9" s="80" t="s">
        <v>128</v>
      </c>
      <c r="S9">
        <v>10</v>
      </c>
      <c r="T9" t="s">
        <v>140</v>
      </c>
      <c r="U9" s="4">
        <f t="shared" si="0"/>
        <v>5</v>
      </c>
    </row>
    <row r="10" spans="1:21" ht="14.4" x14ac:dyDescent="0.3">
      <c r="A10" s="85" t="s">
        <v>135</v>
      </c>
      <c r="B10" s="4">
        <v>2</v>
      </c>
      <c r="C10" s="86"/>
      <c r="D10" s="86"/>
      <c r="E10" s="86"/>
      <c r="F10" s="86"/>
      <c r="G10" s="87"/>
      <c r="H10" s="87"/>
      <c r="I10" s="88"/>
      <c r="J10" s="81"/>
      <c r="K10" s="77"/>
      <c r="L10" s="81"/>
      <c r="M10" s="89"/>
      <c r="N10" s="81"/>
      <c r="O10" s="89"/>
      <c r="P10" s="89"/>
      <c r="Q10" s="89"/>
      <c r="R10" s="89"/>
      <c r="S10">
        <v>2</v>
      </c>
      <c r="T10" t="s">
        <v>136</v>
      </c>
      <c r="U10" s="4">
        <v>0</v>
      </c>
    </row>
    <row r="11" spans="1:21" ht="14.4" x14ac:dyDescent="0.3">
      <c r="A11" s="3" t="s">
        <v>24</v>
      </c>
      <c r="B11" s="4">
        <v>30</v>
      </c>
      <c r="C11" s="4">
        <v>6</v>
      </c>
      <c r="D11" s="4">
        <v>2</v>
      </c>
      <c r="E11" s="4">
        <v>1</v>
      </c>
      <c r="F11" s="4">
        <v>2</v>
      </c>
      <c r="G11" s="5">
        <v>2</v>
      </c>
      <c r="H11" s="5">
        <v>2</v>
      </c>
      <c r="I11" s="6">
        <v>0</v>
      </c>
      <c r="K11">
        <v>0</v>
      </c>
      <c r="M11">
        <v>1</v>
      </c>
      <c r="N11" s="78">
        <v>45561</v>
      </c>
      <c r="O11" s="80">
        <v>2</v>
      </c>
      <c r="P11" s="80" t="s">
        <v>121</v>
      </c>
      <c r="Q11" s="80">
        <v>3</v>
      </c>
      <c r="R11" s="80" t="s">
        <v>129</v>
      </c>
      <c r="S11" s="80">
        <v>9</v>
      </c>
      <c r="T11" t="s">
        <v>142</v>
      </c>
      <c r="U11" s="4">
        <f t="shared" si="0"/>
        <v>0</v>
      </c>
    </row>
    <row r="12" spans="1:21" ht="14.4" x14ac:dyDescent="0.3">
      <c r="A12" s="3" t="s">
        <v>25</v>
      </c>
      <c r="B12" s="4">
        <v>29</v>
      </c>
      <c r="C12" s="4">
        <v>5</v>
      </c>
      <c r="D12" s="4">
        <v>0</v>
      </c>
      <c r="E12" s="4">
        <v>0</v>
      </c>
      <c r="F12" s="4">
        <v>0</v>
      </c>
      <c r="G12" s="5">
        <v>1</v>
      </c>
      <c r="H12" s="5">
        <v>1</v>
      </c>
      <c r="I12" s="6">
        <v>0</v>
      </c>
      <c r="K12" s="77">
        <v>0</v>
      </c>
      <c r="M12" s="80">
        <v>0</v>
      </c>
      <c r="O12" s="81"/>
      <c r="P12" s="81"/>
      <c r="Q12" s="81"/>
      <c r="R12" s="81"/>
      <c r="S12" s="81"/>
      <c r="T12" s="81"/>
      <c r="U12" s="86">
        <f t="shared" si="0"/>
        <v>22</v>
      </c>
    </row>
    <row r="13" spans="1:21" ht="14.4" x14ac:dyDescent="0.3">
      <c r="A13" s="3" t="s">
        <v>26</v>
      </c>
      <c r="B13" s="4">
        <v>11</v>
      </c>
      <c r="C13" s="10"/>
      <c r="D13" s="10"/>
      <c r="E13" s="10"/>
      <c r="F13" s="10"/>
      <c r="G13" s="11"/>
      <c r="H13" s="5">
        <v>0</v>
      </c>
      <c r="I13" s="6">
        <v>0</v>
      </c>
      <c r="K13">
        <v>0</v>
      </c>
      <c r="M13" s="80">
        <v>0</v>
      </c>
      <c r="O13" s="80">
        <v>2</v>
      </c>
      <c r="P13" s="82" t="s">
        <v>122</v>
      </c>
      <c r="Q13" s="80">
        <v>3</v>
      </c>
      <c r="R13" s="80" t="s">
        <v>130</v>
      </c>
      <c r="S13" s="80">
        <v>6</v>
      </c>
      <c r="T13" t="s">
        <v>143</v>
      </c>
      <c r="U13" s="4">
        <f>B13-H13-I13-K13-M13-O13-Q13-S13</f>
        <v>0</v>
      </c>
    </row>
    <row r="14" spans="1:21" ht="14.4" x14ac:dyDescent="0.3">
      <c r="A14" s="3" t="s">
        <v>27</v>
      </c>
      <c r="B14" s="4">
        <v>26</v>
      </c>
      <c r="C14" s="4">
        <v>6</v>
      </c>
      <c r="D14" s="4">
        <v>1</v>
      </c>
      <c r="E14" s="4">
        <v>0</v>
      </c>
      <c r="F14" s="4">
        <v>1</v>
      </c>
      <c r="G14" s="5">
        <v>1</v>
      </c>
      <c r="H14" s="5">
        <v>1</v>
      </c>
      <c r="I14" s="6">
        <v>2</v>
      </c>
      <c r="J14" s="12">
        <v>11151</v>
      </c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86">
        <f>B14-C14-D14-E14-F14-G14-H14-I14-K14-M14-O14-Q14-S14</f>
        <v>14</v>
      </c>
    </row>
    <row r="15" spans="1:21" ht="14.4" x14ac:dyDescent="0.3">
      <c r="A15" s="13" t="s">
        <v>28</v>
      </c>
      <c r="B15" s="4">
        <v>23</v>
      </c>
      <c r="C15" s="4">
        <v>6</v>
      </c>
      <c r="D15" s="4">
        <v>1</v>
      </c>
      <c r="E15" s="4">
        <v>0</v>
      </c>
      <c r="F15" s="4">
        <v>0</v>
      </c>
      <c r="G15" s="5">
        <v>0</v>
      </c>
      <c r="H15" s="5">
        <v>1</v>
      </c>
      <c r="I15" s="6">
        <v>0</v>
      </c>
      <c r="K15">
        <v>0</v>
      </c>
      <c r="M15" s="80">
        <v>0</v>
      </c>
      <c r="O15">
        <v>3</v>
      </c>
      <c r="P15" t="s">
        <v>118</v>
      </c>
      <c r="Q15" s="80">
        <v>3</v>
      </c>
      <c r="R15" s="80" t="s">
        <v>131</v>
      </c>
      <c r="S15" s="80">
        <v>7</v>
      </c>
      <c r="T15" t="s">
        <v>144</v>
      </c>
      <c r="U15" s="4">
        <f>B15-I15-K15-M15-O15-Q15-S15-C15-H15-D15-E15-F15-G15</f>
        <v>2</v>
      </c>
    </row>
    <row r="16" spans="1:21" ht="14.4" x14ac:dyDescent="0.3">
      <c r="A16" s="14" t="s">
        <v>29</v>
      </c>
      <c r="B16" s="4">
        <v>15</v>
      </c>
      <c r="C16" s="9"/>
      <c r="D16" s="9"/>
      <c r="E16" s="9"/>
      <c r="F16" s="9"/>
      <c r="G16" s="5">
        <v>0</v>
      </c>
      <c r="H16" s="5">
        <v>0</v>
      </c>
      <c r="I16" s="6">
        <v>0</v>
      </c>
      <c r="K16">
        <v>0</v>
      </c>
      <c r="Q16" s="80">
        <v>4</v>
      </c>
      <c r="R16" s="80" t="s">
        <v>132</v>
      </c>
      <c r="S16" s="80">
        <v>9</v>
      </c>
      <c r="T16" t="s">
        <v>142</v>
      </c>
      <c r="U16" s="4">
        <f>B16-G16-H16-I16-K16-M16-O16-Q16-S16</f>
        <v>2</v>
      </c>
    </row>
    <row r="18" spans="1:21" ht="14.4" x14ac:dyDescent="0.3">
      <c r="A18" s="14" t="s">
        <v>30</v>
      </c>
    </row>
    <row r="19" spans="1:21" ht="14.4" x14ac:dyDescent="0.3">
      <c r="A19" s="15" t="s">
        <v>0</v>
      </c>
      <c r="B19" s="1" t="s">
        <v>1</v>
      </c>
      <c r="C19" s="2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/>
      <c r="K19" s="1" t="s">
        <v>9</v>
      </c>
      <c r="L19" s="1"/>
      <c r="M19" s="1" t="s">
        <v>10</v>
      </c>
      <c r="N19" s="1"/>
      <c r="O19" s="1" t="s">
        <v>11</v>
      </c>
      <c r="P19" s="1"/>
      <c r="Q19" s="1" t="s">
        <v>12</v>
      </c>
      <c r="R19" s="1"/>
      <c r="S19" s="1" t="s">
        <v>13</v>
      </c>
      <c r="T19" s="1"/>
      <c r="U19" s="1" t="s">
        <v>14</v>
      </c>
    </row>
    <row r="20" spans="1:21" ht="14.4" x14ac:dyDescent="0.3">
      <c r="A20" s="16" t="s">
        <v>20</v>
      </c>
      <c r="B20" s="4">
        <v>36</v>
      </c>
      <c r="C20" s="4">
        <v>5</v>
      </c>
      <c r="D20" s="4">
        <v>1</v>
      </c>
      <c r="E20" s="4">
        <v>1</v>
      </c>
      <c r="F20" s="4">
        <v>3</v>
      </c>
      <c r="G20" s="5">
        <v>1</v>
      </c>
      <c r="H20" s="5">
        <v>1</v>
      </c>
      <c r="I20" s="6">
        <v>0</v>
      </c>
      <c r="K20">
        <v>2</v>
      </c>
      <c r="L20" t="s">
        <v>113</v>
      </c>
      <c r="M20">
        <v>1</v>
      </c>
      <c r="N20" s="78">
        <v>45562</v>
      </c>
      <c r="O20">
        <v>2</v>
      </c>
      <c r="P20" t="s">
        <v>117</v>
      </c>
      <c r="Q20">
        <v>4</v>
      </c>
      <c r="R20" t="s">
        <v>126</v>
      </c>
      <c r="S20">
        <v>10</v>
      </c>
      <c r="T20" t="s">
        <v>140</v>
      </c>
      <c r="U20" s="4">
        <f>B20-C20-D20-E20-F20-G20-H20-I20-K20-M20-O20-Q20-S20</f>
        <v>5</v>
      </c>
    </row>
    <row r="21" spans="1:21" ht="14.4" x14ac:dyDescent="0.3">
      <c r="A21" s="4" t="s">
        <v>15</v>
      </c>
      <c r="B21" s="4">
        <v>28</v>
      </c>
      <c r="C21" s="4">
        <v>5</v>
      </c>
      <c r="D21" s="4">
        <v>3</v>
      </c>
      <c r="E21" s="4">
        <v>1</v>
      </c>
      <c r="F21" s="4">
        <v>2</v>
      </c>
      <c r="G21" s="5">
        <v>0</v>
      </c>
      <c r="H21" s="5">
        <v>0</v>
      </c>
      <c r="I21" s="6">
        <v>3</v>
      </c>
      <c r="J21" s="6" t="s">
        <v>16</v>
      </c>
      <c r="K21">
        <v>0</v>
      </c>
      <c r="M21">
        <v>2</v>
      </c>
      <c r="N21" t="s">
        <v>114</v>
      </c>
      <c r="O21">
        <v>2</v>
      </c>
      <c r="P21" t="s">
        <v>117</v>
      </c>
      <c r="Q21">
        <v>3</v>
      </c>
      <c r="R21" t="s">
        <v>123</v>
      </c>
      <c r="S21">
        <v>7</v>
      </c>
      <c r="T21" t="s">
        <v>137</v>
      </c>
      <c r="U21" s="4">
        <f>B21-C21-D21-E21-F21-G21-H21-I21-K21-M21-O21-Q21-S21</f>
        <v>0</v>
      </c>
    </row>
    <row r="22" spans="1:21" ht="15.75" customHeight="1" x14ac:dyDescent="0.3"/>
    <row r="23" spans="1:21" ht="15.75" customHeight="1" x14ac:dyDescent="0.3">
      <c r="A23" s="83" t="s">
        <v>133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 t="s">
        <v>12</v>
      </c>
      <c r="R23" s="84"/>
      <c r="S23" s="84"/>
      <c r="T23" s="84"/>
      <c r="U23" s="84"/>
    </row>
    <row r="24" spans="1:21" ht="15.75" customHeight="1" x14ac:dyDescent="0.3">
      <c r="A24" s="83" t="s">
        <v>134</v>
      </c>
      <c r="B24" s="84">
        <v>8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>
        <v>3</v>
      </c>
      <c r="R24" s="84" t="s">
        <v>130</v>
      </c>
      <c r="S24" s="84">
        <v>5</v>
      </c>
      <c r="T24" s="84" t="s">
        <v>141</v>
      </c>
      <c r="U24" s="84">
        <f>B24-Q24-S24</f>
        <v>0</v>
      </c>
    </row>
    <row r="25" spans="1:21" ht="15.75" customHeight="1" x14ac:dyDescent="0.3"/>
    <row r="26" spans="1:21" ht="15.75" customHeight="1" x14ac:dyDescent="0.3"/>
    <row r="27" spans="1:21" ht="15.75" customHeight="1" x14ac:dyDescent="0.3"/>
    <row r="28" spans="1:21" ht="15.75" customHeight="1" x14ac:dyDescent="0.3"/>
    <row r="29" spans="1:21" ht="15.75" customHeight="1" x14ac:dyDescent="0.3"/>
    <row r="30" spans="1:21" ht="15.75" customHeight="1" x14ac:dyDescent="0.3"/>
    <row r="31" spans="1:21" ht="15.75" customHeight="1" x14ac:dyDescent="0.3"/>
    <row r="32" spans="1:2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/>
  </sheetViews>
  <sheetFormatPr defaultColWidth="14.44140625" defaultRowHeight="15" customHeight="1" x14ac:dyDescent="0.3"/>
  <cols>
    <col min="1" max="1" width="23" customWidth="1"/>
    <col min="2" max="15" width="8.6640625" customWidth="1"/>
  </cols>
  <sheetData>
    <row r="1" spans="1:15" ht="14.4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4" x14ac:dyDescent="0.3">
      <c r="A2" s="3" t="s">
        <v>15</v>
      </c>
      <c r="B2" s="4">
        <v>34</v>
      </c>
      <c r="C2" s="4">
        <v>7</v>
      </c>
      <c r="D2" s="4">
        <v>5</v>
      </c>
      <c r="E2" s="4">
        <v>0</v>
      </c>
      <c r="F2" s="4">
        <v>1</v>
      </c>
      <c r="G2" s="4">
        <v>2</v>
      </c>
      <c r="H2" s="4">
        <v>2</v>
      </c>
      <c r="I2" s="4">
        <v>3</v>
      </c>
      <c r="J2" s="4">
        <v>3</v>
      </c>
      <c r="K2" s="4">
        <v>2</v>
      </c>
      <c r="L2" s="4">
        <v>2</v>
      </c>
      <c r="M2" s="4">
        <v>2</v>
      </c>
      <c r="N2" s="4">
        <v>5</v>
      </c>
      <c r="O2" s="4">
        <f t="shared" ref="O2:O13" si="0">B2-C2-D2-E2-F2-G2-H2-I2-J2-K2-L2-M2-N2</f>
        <v>0</v>
      </c>
    </row>
    <row r="3" spans="1:15" ht="14.4" x14ac:dyDescent="0.3">
      <c r="A3" s="3" t="s">
        <v>31</v>
      </c>
      <c r="B3" s="4">
        <v>30</v>
      </c>
      <c r="C3" s="4">
        <v>7</v>
      </c>
      <c r="D3" s="4">
        <v>2</v>
      </c>
      <c r="E3" s="4">
        <v>2</v>
      </c>
      <c r="F3" s="4">
        <v>2</v>
      </c>
      <c r="G3" s="4">
        <v>2</v>
      </c>
      <c r="H3" s="4">
        <v>2</v>
      </c>
      <c r="I3" s="17"/>
      <c r="J3" s="17"/>
      <c r="K3" s="17"/>
      <c r="L3" s="17"/>
      <c r="M3" s="17"/>
      <c r="N3" s="17"/>
      <c r="O3" s="4">
        <f t="shared" si="0"/>
        <v>13</v>
      </c>
    </row>
    <row r="4" spans="1:15" ht="14.4" x14ac:dyDescent="0.3">
      <c r="A4" s="3" t="s">
        <v>32</v>
      </c>
      <c r="B4" s="4">
        <v>22</v>
      </c>
      <c r="D4" s="4">
        <v>2</v>
      </c>
      <c r="E4" s="4">
        <v>0</v>
      </c>
      <c r="F4" s="4">
        <v>0</v>
      </c>
      <c r="G4" s="4">
        <v>1</v>
      </c>
      <c r="H4" s="4">
        <v>2</v>
      </c>
      <c r="I4" s="4">
        <v>3</v>
      </c>
      <c r="J4" s="9"/>
      <c r="K4" s="9"/>
      <c r="L4" s="9"/>
      <c r="M4" s="9"/>
      <c r="N4" s="9"/>
      <c r="O4" s="4">
        <f t="shared" si="0"/>
        <v>14</v>
      </c>
    </row>
    <row r="5" spans="1:15" ht="14.4" x14ac:dyDescent="0.3">
      <c r="A5" s="3" t="s">
        <v>18</v>
      </c>
      <c r="B5" s="4">
        <v>30</v>
      </c>
      <c r="C5" s="4">
        <v>5</v>
      </c>
      <c r="D5" s="4">
        <v>5</v>
      </c>
      <c r="E5" s="4">
        <v>2</v>
      </c>
      <c r="F5" s="4">
        <v>2</v>
      </c>
      <c r="G5" s="4">
        <v>1</v>
      </c>
      <c r="H5" s="4">
        <v>2</v>
      </c>
      <c r="I5" s="4">
        <v>3</v>
      </c>
      <c r="J5" s="4">
        <v>1</v>
      </c>
      <c r="K5" s="4">
        <v>2</v>
      </c>
      <c r="L5" s="4">
        <v>2</v>
      </c>
      <c r="M5" s="4">
        <v>1</v>
      </c>
      <c r="N5" s="4">
        <v>4</v>
      </c>
      <c r="O5" s="4">
        <f t="shared" si="0"/>
        <v>0</v>
      </c>
    </row>
    <row r="6" spans="1:15" ht="14.4" x14ac:dyDescent="0.3">
      <c r="A6" s="3" t="s">
        <v>19</v>
      </c>
      <c r="B6" s="4">
        <v>17</v>
      </c>
      <c r="D6" s="4">
        <v>0</v>
      </c>
      <c r="E6" s="4">
        <v>0</v>
      </c>
      <c r="F6" s="4">
        <v>0</v>
      </c>
      <c r="G6" s="4">
        <v>5</v>
      </c>
      <c r="H6" s="4">
        <v>2</v>
      </c>
      <c r="I6" s="4">
        <v>4</v>
      </c>
      <c r="J6" s="4">
        <v>0</v>
      </c>
      <c r="K6" s="4">
        <v>1</v>
      </c>
      <c r="L6" s="4">
        <v>2</v>
      </c>
      <c r="M6" s="4">
        <v>0</v>
      </c>
      <c r="N6" s="4">
        <v>3</v>
      </c>
      <c r="O6" s="4">
        <f t="shared" si="0"/>
        <v>0</v>
      </c>
    </row>
    <row r="7" spans="1:15" ht="14.4" x14ac:dyDescent="0.3">
      <c r="A7" s="3" t="s">
        <v>20</v>
      </c>
      <c r="B7" s="4">
        <v>34</v>
      </c>
      <c r="C7" s="4">
        <v>5</v>
      </c>
      <c r="D7" s="4">
        <v>3</v>
      </c>
      <c r="E7" s="4">
        <v>0</v>
      </c>
      <c r="F7" s="4">
        <v>2</v>
      </c>
      <c r="G7" s="4">
        <v>0</v>
      </c>
      <c r="H7" s="4">
        <v>2</v>
      </c>
      <c r="I7" s="4">
        <v>6</v>
      </c>
      <c r="J7" s="4">
        <v>1</v>
      </c>
      <c r="K7" s="4">
        <v>1</v>
      </c>
      <c r="L7" s="4">
        <v>2</v>
      </c>
      <c r="M7" s="4">
        <v>3</v>
      </c>
      <c r="N7" s="4">
        <v>7</v>
      </c>
      <c r="O7" s="4">
        <f t="shared" si="0"/>
        <v>2</v>
      </c>
    </row>
    <row r="8" spans="1:15" ht="14.4" x14ac:dyDescent="0.3">
      <c r="A8" s="3" t="s">
        <v>21</v>
      </c>
      <c r="B8" s="4">
        <v>33</v>
      </c>
      <c r="C8" s="4">
        <v>5</v>
      </c>
      <c r="D8" s="4">
        <v>4</v>
      </c>
      <c r="E8" s="4">
        <v>1</v>
      </c>
      <c r="F8" s="4">
        <v>2</v>
      </c>
      <c r="G8" s="4">
        <v>2</v>
      </c>
      <c r="H8" s="4">
        <v>3</v>
      </c>
      <c r="I8" s="4">
        <v>3</v>
      </c>
      <c r="J8" s="4">
        <v>1</v>
      </c>
      <c r="K8" s="4">
        <v>1</v>
      </c>
      <c r="L8" s="4">
        <v>2</v>
      </c>
      <c r="M8" s="4">
        <v>3</v>
      </c>
      <c r="N8" s="4">
        <v>6</v>
      </c>
      <c r="O8" s="4">
        <f t="shared" si="0"/>
        <v>0</v>
      </c>
    </row>
    <row r="9" spans="1:15" ht="14.4" x14ac:dyDescent="0.3">
      <c r="A9" s="3" t="s">
        <v>22</v>
      </c>
      <c r="B9" s="4">
        <v>32</v>
      </c>
      <c r="C9" s="4">
        <v>5</v>
      </c>
      <c r="D9" s="4">
        <v>2</v>
      </c>
      <c r="E9" s="4">
        <v>1</v>
      </c>
      <c r="F9" s="4">
        <v>1</v>
      </c>
      <c r="G9" s="4">
        <v>1</v>
      </c>
      <c r="H9" s="4">
        <v>2</v>
      </c>
      <c r="I9" s="4">
        <v>6</v>
      </c>
      <c r="J9" s="4">
        <v>0</v>
      </c>
      <c r="K9" s="4">
        <v>3</v>
      </c>
      <c r="L9" s="4">
        <v>2</v>
      </c>
      <c r="M9" s="4">
        <v>2</v>
      </c>
      <c r="N9" s="4">
        <v>6</v>
      </c>
      <c r="O9" s="4">
        <f t="shared" si="0"/>
        <v>1</v>
      </c>
    </row>
    <row r="10" spans="1:15" ht="14.4" x14ac:dyDescent="0.3">
      <c r="A10" s="3" t="s">
        <v>23</v>
      </c>
      <c r="B10" s="4">
        <v>32</v>
      </c>
      <c r="C10" s="4">
        <v>5</v>
      </c>
      <c r="D10" s="4">
        <v>2</v>
      </c>
      <c r="E10" s="4">
        <v>1</v>
      </c>
      <c r="F10" s="4">
        <v>1</v>
      </c>
      <c r="G10" s="4">
        <v>1</v>
      </c>
      <c r="H10" s="4">
        <v>2</v>
      </c>
      <c r="I10" s="4">
        <v>3</v>
      </c>
      <c r="J10" s="4">
        <v>3</v>
      </c>
      <c r="K10" s="4">
        <v>2</v>
      </c>
      <c r="L10" s="4">
        <v>2</v>
      </c>
      <c r="M10" s="4">
        <v>4</v>
      </c>
      <c r="N10" s="4">
        <v>6</v>
      </c>
      <c r="O10" s="4">
        <f t="shared" si="0"/>
        <v>0</v>
      </c>
    </row>
    <row r="11" spans="1:15" ht="14.4" x14ac:dyDescent="0.3">
      <c r="A11" s="3" t="s">
        <v>24</v>
      </c>
      <c r="B11" s="4">
        <v>23</v>
      </c>
      <c r="E11" s="4">
        <v>0</v>
      </c>
      <c r="F11" s="4">
        <v>0</v>
      </c>
      <c r="G11" s="4">
        <v>4</v>
      </c>
      <c r="H11" s="4">
        <v>2</v>
      </c>
      <c r="I11" s="4">
        <v>3</v>
      </c>
      <c r="J11" s="4">
        <v>1</v>
      </c>
      <c r="K11" s="4">
        <v>2</v>
      </c>
      <c r="L11" s="4">
        <v>2</v>
      </c>
      <c r="M11" s="4">
        <v>3</v>
      </c>
      <c r="N11" s="4">
        <v>6</v>
      </c>
      <c r="O11" s="4">
        <f t="shared" si="0"/>
        <v>0</v>
      </c>
    </row>
    <row r="12" spans="1:15" ht="14.4" x14ac:dyDescent="0.3">
      <c r="A12" s="3" t="s">
        <v>25</v>
      </c>
      <c r="B12" s="4">
        <v>23</v>
      </c>
      <c r="D12" s="4">
        <v>2</v>
      </c>
      <c r="E12" s="4">
        <v>2</v>
      </c>
      <c r="F12" s="4">
        <v>0</v>
      </c>
      <c r="G12" s="4">
        <v>1</v>
      </c>
      <c r="H12" s="4">
        <v>1</v>
      </c>
      <c r="I12" s="4">
        <v>5</v>
      </c>
      <c r="J12" s="4">
        <v>0</v>
      </c>
      <c r="K12" s="4">
        <v>2</v>
      </c>
      <c r="L12" s="4">
        <v>0</v>
      </c>
      <c r="M12" s="4">
        <v>1</v>
      </c>
      <c r="N12" s="4">
        <v>6</v>
      </c>
      <c r="O12" s="4">
        <f t="shared" si="0"/>
        <v>3</v>
      </c>
    </row>
    <row r="13" spans="1:15" ht="14.4" x14ac:dyDescent="0.3">
      <c r="A13" s="3" t="s">
        <v>27</v>
      </c>
      <c r="B13" s="4">
        <v>25</v>
      </c>
      <c r="C13" s="4">
        <v>5</v>
      </c>
      <c r="D13" s="4">
        <v>0</v>
      </c>
      <c r="E13" s="4">
        <v>0</v>
      </c>
      <c r="F13" s="4">
        <v>0</v>
      </c>
      <c r="G13" s="4">
        <v>3</v>
      </c>
      <c r="H13" s="4">
        <v>1</v>
      </c>
      <c r="I13" s="4">
        <v>1</v>
      </c>
      <c r="J13" s="4">
        <v>2</v>
      </c>
      <c r="K13" s="4">
        <v>1</v>
      </c>
      <c r="L13" s="4">
        <v>1</v>
      </c>
      <c r="M13" s="4">
        <v>2</v>
      </c>
      <c r="N13" s="4">
        <v>6</v>
      </c>
      <c r="O13" s="4">
        <f t="shared" si="0"/>
        <v>3</v>
      </c>
    </row>
    <row r="14" spans="1:15" ht="14.4" x14ac:dyDescent="0.3">
      <c r="A14" s="13" t="s">
        <v>28</v>
      </c>
      <c r="B14" s="4">
        <v>22</v>
      </c>
      <c r="C14" s="4">
        <v>5</v>
      </c>
      <c r="D14" s="4">
        <v>1</v>
      </c>
      <c r="E14" s="4">
        <v>0</v>
      </c>
      <c r="F14" s="4">
        <v>0</v>
      </c>
      <c r="G14" s="4">
        <v>0</v>
      </c>
      <c r="H14" s="4">
        <v>1</v>
      </c>
      <c r="I14" s="4">
        <v>1</v>
      </c>
      <c r="J14" s="4">
        <v>0</v>
      </c>
      <c r="K14" s="4">
        <v>3</v>
      </c>
      <c r="L14" s="4">
        <v>1</v>
      </c>
      <c r="M14" s="4">
        <v>2</v>
      </c>
      <c r="N14" s="4">
        <v>5</v>
      </c>
      <c r="O14" s="4">
        <f t="shared" ref="O14:O15" si="1">B14-I14-J14-K14-L14-M14-N14-C14-H14-D14-E14-F14-G14</f>
        <v>3</v>
      </c>
    </row>
    <row r="15" spans="1:15" ht="14.4" x14ac:dyDescent="0.3">
      <c r="A15" s="13" t="s">
        <v>33</v>
      </c>
      <c r="B15" s="4">
        <v>22</v>
      </c>
      <c r="C15" s="4">
        <v>0</v>
      </c>
      <c r="D15" s="4">
        <v>3</v>
      </c>
      <c r="E15" s="4">
        <v>0</v>
      </c>
      <c r="F15" s="4">
        <v>0</v>
      </c>
      <c r="G15" s="4">
        <v>2</v>
      </c>
      <c r="H15" s="4">
        <v>2</v>
      </c>
      <c r="I15" s="4">
        <v>3</v>
      </c>
      <c r="J15" s="4">
        <v>2</v>
      </c>
      <c r="K15" s="4">
        <v>2</v>
      </c>
      <c r="L15" s="4">
        <v>4</v>
      </c>
      <c r="M15" s="18"/>
      <c r="N15" s="18"/>
      <c r="O15" s="18">
        <f t="shared" si="1"/>
        <v>4</v>
      </c>
    </row>
    <row r="17" spans="1:15" ht="14.4" x14ac:dyDescent="0.3">
      <c r="A17" s="14" t="s">
        <v>30</v>
      </c>
    </row>
    <row r="18" spans="1:15" ht="14.4" x14ac:dyDescent="0.3">
      <c r="A18" s="15" t="s">
        <v>0</v>
      </c>
      <c r="B18" s="1" t="s">
        <v>1</v>
      </c>
      <c r="C18" s="2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  <c r="N18" s="1" t="s">
        <v>13</v>
      </c>
      <c r="O18" s="1" t="s">
        <v>14</v>
      </c>
    </row>
    <row r="19" spans="1:15" ht="14.4" x14ac:dyDescent="0.3">
      <c r="A19" s="16" t="s">
        <v>20</v>
      </c>
      <c r="B19" s="4">
        <v>36</v>
      </c>
      <c r="C19" s="4">
        <v>5</v>
      </c>
      <c r="D19" s="4">
        <v>3</v>
      </c>
      <c r="E19" s="4">
        <v>2</v>
      </c>
      <c r="F19" s="4">
        <v>2</v>
      </c>
      <c r="G19" s="4">
        <v>0</v>
      </c>
      <c r="H19" s="4">
        <v>2</v>
      </c>
      <c r="I19" s="4">
        <v>6</v>
      </c>
      <c r="J19" s="4">
        <v>1</v>
      </c>
      <c r="K19" s="4">
        <v>1</v>
      </c>
      <c r="L19" s="4">
        <v>2</v>
      </c>
      <c r="M19" s="4">
        <v>3</v>
      </c>
      <c r="N19" s="4">
        <v>7</v>
      </c>
      <c r="O19" s="4">
        <f t="shared" ref="O19:O21" si="2">B19-C19-D19-E19-F19-G19-H19-I19-J19-K19-L19-M19-N19</f>
        <v>2</v>
      </c>
    </row>
    <row r="20" spans="1:15" ht="14.4" x14ac:dyDescent="0.3">
      <c r="A20" s="4" t="s">
        <v>15</v>
      </c>
      <c r="B20" s="4">
        <v>28</v>
      </c>
      <c r="C20" s="4">
        <v>5</v>
      </c>
      <c r="D20" s="4">
        <v>5</v>
      </c>
      <c r="E20" s="4">
        <v>0</v>
      </c>
      <c r="F20" s="4">
        <v>1</v>
      </c>
      <c r="G20" s="4">
        <v>2</v>
      </c>
      <c r="H20" s="4">
        <v>2</v>
      </c>
      <c r="I20" s="4">
        <v>3</v>
      </c>
      <c r="J20" s="4">
        <v>0</v>
      </c>
      <c r="K20" s="4">
        <v>2</v>
      </c>
      <c r="L20" s="4">
        <v>1</v>
      </c>
      <c r="M20" s="4">
        <v>2</v>
      </c>
      <c r="N20" s="4">
        <v>5</v>
      </c>
      <c r="O20" s="4">
        <f t="shared" si="2"/>
        <v>0</v>
      </c>
    </row>
    <row r="21" spans="1:15" ht="15.75" customHeight="1" x14ac:dyDescent="0.3">
      <c r="A21" s="4" t="s">
        <v>31</v>
      </c>
      <c r="B21" s="4">
        <v>24</v>
      </c>
      <c r="C21" s="4">
        <v>0</v>
      </c>
      <c r="D21" s="4">
        <v>2</v>
      </c>
      <c r="E21" s="4">
        <v>3</v>
      </c>
      <c r="F21" s="4">
        <v>2</v>
      </c>
      <c r="G21" s="4">
        <v>2</v>
      </c>
      <c r="H21" s="4">
        <v>2</v>
      </c>
      <c r="I21" s="17"/>
      <c r="J21" s="17"/>
      <c r="K21" s="17"/>
      <c r="L21" s="17"/>
      <c r="M21" s="17"/>
      <c r="N21" s="17"/>
      <c r="O21" s="4">
        <f t="shared" si="2"/>
        <v>13</v>
      </c>
    </row>
    <row r="22" spans="1:15" ht="15.75" customHeight="1" x14ac:dyDescent="0.3"/>
    <row r="23" spans="1:15" ht="15.75" customHeight="1" x14ac:dyDescent="0.3"/>
    <row r="24" spans="1:15" ht="15.75" customHeight="1" x14ac:dyDescent="0.3"/>
    <row r="25" spans="1:15" ht="15.75" customHeight="1" x14ac:dyDescent="0.3"/>
    <row r="26" spans="1:15" ht="15.75" customHeight="1" x14ac:dyDescent="0.3"/>
    <row r="27" spans="1:15" ht="15.75" customHeight="1" x14ac:dyDescent="0.3"/>
    <row r="28" spans="1:15" ht="15.75" customHeight="1" x14ac:dyDescent="0.3"/>
    <row r="29" spans="1:15" ht="15.75" customHeight="1" x14ac:dyDescent="0.3"/>
    <row r="30" spans="1:15" ht="15.75" customHeight="1" x14ac:dyDescent="0.3"/>
    <row r="31" spans="1:15" ht="15.75" customHeight="1" x14ac:dyDescent="0.3"/>
    <row r="32" spans="1:1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workbookViewId="0"/>
  </sheetViews>
  <sheetFormatPr defaultColWidth="14.44140625" defaultRowHeight="15" customHeight="1" x14ac:dyDescent="0.3"/>
  <cols>
    <col min="1" max="1" width="23" customWidth="1"/>
    <col min="2" max="15" width="8.6640625" customWidth="1"/>
  </cols>
  <sheetData>
    <row r="1" spans="1:15" ht="14.4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4" x14ac:dyDescent="0.3">
      <c r="A2" s="3" t="s">
        <v>15</v>
      </c>
      <c r="B2" s="4">
        <v>36</v>
      </c>
      <c r="C2" s="4">
        <v>5</v>
      </c>
      <c r="D2" s="4">
        <v>2</v>
      </c>
      <c r="E2" s="4">
        <v>2</v>
      </c>
      <c r="F2" s="4">
        <v>1</v>
      </c>
      <c r="G2" s="4">
        <v>2</v>
      </c>
      <c r="H2" s="4">
        <v>2</v>
      </c>
      <c r="I2" s="4">
        <v>1</v>
      </c>
      <c r="J2" s="4">
        <v>3</v>
      </c>
      <c r="K2" s="4">
        <v>4</v>
      </c>
      <c r="L2" s="4">
        <v>2</v>
      </c>
      <c r="M2" s="4">
        <v>1</v>
      </c>
      <c r="N2" s="4">
        <v>11</v>
      </c>
      <c r="O2" s="4">
        <f t="shared" ref="O2:O8" si="0">B2-C2-D2-E2-F2-G2-H2-I2-J2-K2-L2-M2-N2</f>
        <v>0</v>
      </c>
    </row>
    <row r="3" spans="1:15" ht="14.4" x14ac:dyDescent="0.3">
      <c r="A3" s="3" t="s">
        <v>31</v>
      </c>
      <c r="B3" s="4">
        <v>31</v>
      </c>
      <c r="C3" s="4">
        <v>5</v>
      </c>
      <c r="D3" s="4">
        <v>1</v>
      </c>
      <c r="E3" s="4">
        <v>0</v>
      </c>
      <c r="F3" s="4">
        <v>1</v>
      </c>
      <c r="G3" s="4">
        <v>2</v>
      </c>
      <c r="H3" s="4">
        <v>2</v>
      </c>
      <c r="I3" s="4">
        <v>1</v>
      </c>
      <c r="J3" s="4">
        <v>1</v>
      </c>
      <c r="K3" s="4">
        <v>4</v>
      </c>
      <c r="L3" s="4">
        <v>1</v>
      </c>
      <c r="M3" s="4">
        <v>0</v>
      </c>
      <c r="N3" s="4">
        <v>13</v>
      </c>
      <c r="O3" s="4">
        <f t="shared" si="0"/>
        <v>0</v>
      </c>
    </row>
    <row r="4" spans="1:15" ht="14.4" x14ac:dyDescent="0.3">
      <c r="A4" s="3" t="s">
        <v>34</v>
      </c>
      <c r="B4" s="4">
        <v>21</v>
      </c>
      <c r="C4" s="4">
        <v>1</v>
      </c>
      <c r="D4" s="4">
        <v>0</v>
      </c>
      <c r="E4" s="4">
        <v>0</v>
      </c>
      <c r="F4" s="4">
        <v>1</v>
      </c>
      <c r="G4" s="4">
        <v>0</v>
      </c>
      <c r="H4" s="4">
        <v>2</v>
      </c>
      <c r="I4" s="4">
        <v>0</v>
      </c>
      <c r="J4" s="4">
        <v>4</v>
      </c>
      <c r="K4" s="4">
        <v>1</v>
      </c>
      <c r="L4" s="19"/>
      <c r="M4" s="19"/>
      <c r="N4" s="19"/>
      <c r="O4" s="19">
        <f t="shared" si="0"/>
        <v>12</v>
      </c>
    </row>
    <row r="5" spans="1:15" ht="14.4" x14ac:dyDescent="0.3">
      <c r="A5" s="3" t="s">
        <v>18</v>
      </c>
      <c r="B5" s="4">
        <v>30</v>
      </c>
      <c r="C5" s="4">
        <v>5</v>
      </c>
      <c r="D5" s="4">
        <v>3</v>
      </c>
      <c r="E5" s="4">
        <v>3</v>
      </c>
      <c r="F5" s="4">
        <v>2</v>
      </c>
      <c r="G5" s="4">
        <v>2</v>
      </c>
      <c r="H5" s="4">
        <v>3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7</v>
      </c>
      <c r="O5" s="4">
        <f t="shared" si="0"/>
        <v>0</v>
      </c>
    </row>
    <row r="6" spans="1:15" ht="14.4" x14ac:dyDescent="0.3">
      <c r="A6" s="3" t="s">
        <v>20</v>
      </c>
      <c r="B6" s="4">
        <v>36</v>
      </c>
      <c r="C6" s="4">
        <v>5</v>
      </c>
      <c r="D6" s="4">
        <v>4</v>
      </c>
      <c r="E6" s="4">
        <v>2</v>
      </c>
      <c r="F6" s="4">
        <v>1</v>
      </c>
      <c r="G6" s="4">
        <v>0</v>
      </c>
      <c r="H6" s="4">
        <v>10</v>
      </c>
      <c r="I6" s="4">
        <v>0</v>
      </c>
      <c r="J6" s="4">
        <v>0</v>
      </c>
      <c r="K6" s="4">
        <v>0</v>
      </c>
      <c r="L6" s="4">
        <v>2</v>
      </c>
      <c r="M6" s="4">
        <v>1</v>
      </c>
      <c r="N6" s="4">
        <v>11</v>
      </c>
      <c r="O6" s="4">
        <f t="shared" si="0"/>
        <v>0</v>
      </c>
    </row>
    <row r="7" spans="1:15" ht="14.4" x14ac:dyDescent="0.3">
      <c r="A7" s="3" t="s">
        <v>35</v>
      </c>
      <c r="B7" s="4">
        <v>27</v>
      </c>
      <c r="C7" s="4">
        <v>5</v>
      </c>
      <c r="D7" s="4">
        <v>0</v>
      </c>
      <c r="E7" s="4">
        <v>1</v>
      </c>
      <c r="F7" s="4">
        <v>0</v>
      </c>
      <c r="G7" s="4">
        <v>1</v>
      </c>
      <c r="H7" s="4">
        <v>2</v>
      </c>
      <c r="I7" s="4">
        <v>0</v>
      </c>
      <c r="J7" s="4">
        <v>3</v>
      </c>
      <c r="K7" s="4">
        <v>2</v>
      </c>
      <c r="L7" s="4">
        <v>2</v>
      </c>
      <c r="M7" s="4">
        <v>0</v>
      </c>
      <c r="N7" s="4">
        <v>11</v>
      </c>
      <c r="O7" s="4">
        <f t="shared" si="0"/>
        <v>0</v>
      </c>
    </row>
    <row r="8" spans="1:15" ht="14.4" x14ac:dyDescent="0.3">
      <c r="A8" s="3" t="s">
        <v>21</v>
      </c>
      <c r="B8" s="4">
        <v>33</v>
      </c>
      <c r="C8" s="4">
        <v>5</v>
      </c>
      <c r="D8" s="4">
        <v>2</v>
      </c>
      <c r="E8" s="4">
        <v>3</v>
      </c>
      <c r="F8" s="4">
        <v>1</v>
      </c>
      <c r="G8" s="4">
        <v>1</v>
      </c>
      <c r="H8" s="4">
        <v>2</v>
      </c>
      <c r="I8" s="4">
        <v>1</v>
      </c>
      <c r="J8" s="4">
        <v>2</v>
      </c>
      <c r="K8" s="4">
        <v>2</v>
      </c>
      <c r="L8" s="4">
        <v>2</v>
      </c>
      <c r="M8" s="4">
        <v>1</v>
      </c>
      <c r="N8" s="4">
        <v>11</v>
      </c>
      <c r="O8" s="4">
        <f t="shared" si="0"/>
        <v>0</v>
      </c>
    </row>
    <row r="9" spans="1:15" ht="14.4" x14ac:dyDescent="0.3">
      <c r="A9" s="3" t="s">
        <v>22</v>
      </c>
      <c r="B9" s="4">
        <v>23</v>
      </c>
      <c r="C9" s="20"/>
      <c r="D9" s="20"/>
      <c r="E9" s="20"/>
      <c r="F9" s="4">
        <v>0</v>
      </c>
      <c r="G9" s="4">
        <v>1</v>
      </c>
      <c r="H9" s="4">
        <v>1</v>
      </c>
      <c r="I9" s="4">
        <v>0</v>
      </c>
      <c r="J9" s="4">
        <v>1</v>
      </c>
      <c r="K9" s="4">
        <v>4</v>
      </c>
      <c r="L9" s="4">
        <v>3</v>
      </c>
      <c r="M9" s="4">
        <v>1</v>
      </c>
      <c r="N9" s="4">
        <v>12</v>
      </c>
      <c r="O9" s="4">
        <f>B9-G9-H9-I9-J9-K9-L9-M9-N9</f>
        <v>0</v>
      </c>
    </row>
    <row r="10" spans="1:15" ht="14.4" x14ac:dyDescent="0.3">
      <c r="A10" s="3" t="s">
        <v>23</v>
      </c>
      <c r="B10" s="4">
        <v>32</v>
      </c>
      <c r="C10" s="4">
        <v>5</v>
      </c>
      <c r="D10" s="4">
        <v>2</v>
      </c>
      <c r="E10" s="4">
        <v>1</v>
      </c>
      <c r="F10" s="4">
        <v>0</v>
      </c>
      <c r="G10" s="4">
        <v>0</v>
      </c>
      <c r="H10" s="4">
        <v>2</v>
      </c>
      <c r="I10" s="4">
        <v>1</v>
      </c>
      <c r="J10" s="4">
        <v>1</v>
      </c>
      <c r="K10" s="4">
        <v>4</v>
      </c>
      <c r="L10" s="4">
        <v>3</v>
      </c>
      <c r="M10" s="4">
        <v>1</v>
      </c>
      <c r="N10" s="4">
        <v>12</v>
      </c>
      <c r="O10" s="4">
        <f>B10-C10-D10-E10-F10-G10-H10-I10-J10-K10-L10-M10-N10</f>
        <v>0</v>
      </c>
    </row>
    <row r="11" spans="1:15" ht="14.4" x14ac:dyDescent="0.3">
      <c r="A11" s="13" t="s">
        <v>28</v>
      </c>
      <c r="B11" s="4">
        <v>23</v>
      </c>
      <c r="C11" s="4">
        <v>3</v>
      </c>
      <c r="D11" s="4">
        <v>3</v>
      </c>
      <c r="E11" s="4">
        <v>1</v>
      </c>
      <c r="F11" s="4">
        <v>0</v>
      </c>
      <c r="G11" s="4">
        <v>1</v>
      </c>
      <c r="H11" s="4">
        <v>1</v>
      </c>
      <c r="I11" s="4">
        <v>0</v>
      </c>
      <c r="J11" s="4">
        <v>0</v>
      </c>
      <c r="K11" s="4">
        <v>0</v>
      </c>
      <c r="L11" s="4">
        <v>5</v>
      </c>
      <c r="M11" s="4">
        <v>0</v>
      </c>
      <c r="N11" s="4">
        <v>9</v>
      </c>
      <c r="O11" s="4">
        <f>B11-I11-J11-K11-L11-M11-N11-C11-H11-D11-E11-F11-G11</f>
        <v>0</v>
      </c>
    </row>
    <row r="12" spans="1:15" ht="14.4" x14ac:dyDescent="0.3">
      <c r="A12" s="13"/>
    </row>
    <row r="14" spans="1:15" ht="14.4" x14ac:dyDescent="0.3">
      <c r="A14" s="14" t="s">
        <v>30</v>
      </c>
    </row>
    <row r="15" spans="1:15" ht="14.4" x14ac:dyDescent="0.3">
      <c r="A15" s="15" t="s">
        <v>0</v>
      </c>
      <c r="B15" s="1" t="s">
        <v>1</v>
      </c>
      <c r="C15" s="2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</row>
    <row r="16" spans="1:15" ht="14.4" x14ac:dyDescent="0.3">
      <c r="A16" s="16" t="s">
        <v>20</v>
      </c>
      <c r="B16" s="4">
        <v>39</v>
      </c>
      <c r="C16" s="4">
        <v>6</v>
      </c>
      <c r="D16" s="4">
        <v>4</v>
      </c>
      <c r="E16" s="4">
        <v>2</v>
      </c>
      <c r="F16" s="4">
        <v>1</v>
      </c>
      <c r="G16" s="4">
        <v>2</v>
      </c>
      <c r="H16" s="4">
        <v>10</v>
      </c>
      <c r="I16" s="4">
        <v>0</v>
      </c>
      <c r="J16" s="4">
        <v>0</v>
      </c>
      <c r="K16" s="4">
        <v>0</v>
      </c>
      <c r="L16" s="4">
        <v>2</v>
      </c>
      <c r="M16" s="4">
        <v>1</v>
      </c>
      <c r="N16" s="4">
        <v>11</v>
      </c>
      <c r="O16" s="4">
        <f>B16-C16-D16-E16-F16-G16-H16-I16-J16-K16-L16-M16-N16</f>
        <v>0</v>
      </c>
    </row>
    <row r="17" spans="1:15" ht="14.4" x14ac:dyDescent="0.3">
      <c r="A17" s="4" t="s">
        <v>15</v>
      </c>
      <c r="B17" s="4">
        <v>19</v>
      </c>
      <c r="I17" s="4">
        <v>1</v>
      </c>
      <c r="J17" s="4">
        <v>3</v>
      </c>
      <c r="K17" s="4">
        <v>4</v>
      </c>
      <c r="L17" s="4">
        <v>2</v>
      </c>
      <c r="M17" s="4">
        <v>0</v>
      </c>
      <c r="N17" s="4">
        <v>8</v>
      </c>
      <c r="O17" s="4">
        <v>8</v>
      </c>
    </row>
    <row r="21" spans="1:15" ht="15.75" customHeight="1" x14ac:dyDescent="0.3"/>
    <row r="22" spans="1:15" ht="15.75" customHeight="1" x14ac:dyDescent="0.3"/>
    <row r="23" spans="1:15" ht="15.75" customHeight="1" x14ac:dyDescent="0.3"/>
    <row r="24" spans="1:15" ht="15.75" customHeight="1" x14ac:dyDescent="0.3"/>
    <row r="25" spans="1:15" ht="15.75" customHeight="1" x14ac:dyDescent="0.3"/>
    <row r="26" spans="1:15" ht="15.75" customHeight="1" x14ac:dyDescent="0.3"/>
    <row r="27" spans="1:15" ht="15.75" customHeight="1" x14ac:dyDescent="0.3"/>
    <row r="28" spans="1:15" ht="15.75" customHeight="1" x14ac:dyDescent="0.3"/>
    <row r="29" spans="1:15" ht="15.75" customHeight="1" x14ac:dyDescent="0.3"/>
    <row r="30" spans="1:15" ht="15.75" customHeight="1" x14ac:dyDescent="0.3"/>
    <row r="31" spans="1:15" ht="15.75" customHeight="1" x14ac:dyDescent="0.3"/>
    <row r="32" spans="1:1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0"/>
  <sheetViews>
    <sheetView workbookViewId="0"/>
  </sheetViews>
  <sheetFormatPr defaultColWidth="14.44140625" defaultRowHeight="15" customHeight="1" x14ac:dyDescent="0.3"/>
  <cols>
    <col min="1" max="1" width="22.88671875" customWidth="1"/>
    <col min="2" max="15" width="8.6640625" customWidth="1"/>
  </cols>
  <sheetData>
    <row r="1" spans="1:15" ht="14.4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4" x14ac:dyDescent="0.3">
      <c r="A2" s="3" t="s">
        <v>15</v>
      </c>
      <c r="B2" s="4">
        <v>31</v>
      </c>
      <c r="C2" s="4">
        <v>2</v>
      </c>
      <c r="D2" s="4">
        <v>2</v>
      </c>
      <c r="E2" s="4">
        <v>2</v>
      </c>
      <c r="F2" s="4">
        <v>2</v>
      </c>
      <c r="G2" s="4">
        <v>2</v>
      </c>
      <c r="H2" s="4">
        <v>3</v>
      </c>
      <c r="I2" s="4">
        <v>3</v>
      </c>
      <c r="J2" s="4">
        <v>0</v>
      </c>
      <c r="K2" s="4">
        <v>2</v>
      </c>
      <c r="L2" s="4">
        <v>2</v>
      </c>
      <c r="M2" s="4">
        <v>1</v>
      </c>
      <c r="N2" s="4">
        <v>10</v>
      </c>
      <c r="O2" s="4">
        <f t="shared" ref="O2:O11" si="0">B2-C2-D2-E2-F2-G2-H2-I2-J2-K2-L2-M2-N2</f>
        <v>0</v>
      </c>
    </row>
    <row r="3" spans="1:15" ht="14.4" x14ac:dyDescent="0.3">
      <c r="A3" s="3" t="s">
        <v>31</v>
      </c>
      <c r="B3" s="4">
        <v>28</v>
      </c>
      <c r="C3" s="4">
        <v>2</v>
      </c>
      <c r="D3" s="4">
        <v>1</v>
      </c>
      <c r="E3" s="4">
        <v>2</v>
      </c>
      <c r="F3" s="4">
        <v>2</v>
      </c>
      <c r="G3" s="4">
        <v>2</v>
      </c>
      <c r="H3" s="4">
        <v>2</v>
      </c>
      <c r="I3" s="4">
        <v>2</v>
      </c>
      <c r="J3" s="4">
        <v>0</v>
      </c>
      <c r="K3" s="4">
        <v>2</v>
      </c>
      <c r="L3" s="4">
        <v>4</v>
      </c>
      <c r="M3" s="4">
        <v>1</v>
      </c>
      <c r="N3" s="4">
        <v>8</v>
      </c>
      <c r="O3" s="4">
        <f t="shared" si="0"/>
        <v>0</v>
      </c>
    </row>
    <row r="4" spans="1:15" ht="14.4" x14ac:dyDescent="0.3">
      <c r="A4" s="3" t="s">
        <v>34</v>
      </c>
      <c r="B4" s="19">
        <v>4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4">
        <v>1</v>
      </c>
      <c r="N4" s="4">
        <v>3</v>
      </c>
      <c r="O4" s="4">
        <f t="shared" si="0"/>
        <v>0</v>
      </c>
    </row>
    <row r="5" spans="1:15" ht="14.4" x14ac:dyDescent="0.3">
      <c r="A5" s="3" t="s">
        <v>36</v>
      </c>
      <c r="B5" s="4">
        <v>21</v>
      </c>
      <c r="C5" s="4">
        <v>0</v>
      </c>
      <c r="D5" s="4">
        <v>1</v>
      </c>
      <c r="E5" s="4">
        <v>2</v>
      </c>
      <c r="F5" s="4">
        <v>2</v>
      </c>
      <c r="G5" s="4">
        <v>0</v>
      </c>
      <c r="H5" s="4">
        <v>2</v>
      </c>
      <c r="I5" s="4">
        <v>3</v>
      </c>
      <c r="J5" s="19">
        <v>0</v>
      </c>
      <c r="K5" s="19"/>
      <c r="L5" s="19"/>
      <c r="M5" s="19"/>
      <c r="N5" s="19"/>
      <c r="O5" s="19">
        <f t="shared" si="0"/>
        <v>11</v>
      </c>
    </row>
    <row r="6" spans="1:15" ht="14.4" x14ac:dyDescent="0.3">
      <c r="A6" s="3" t="s">
        <v>18</v>
      </c>
      <c r="B6" s="4">
        <v>30</v>
      </c>
      <c r="C6" s="4">
        <v>2</v>
      </c>
      <c r="D6" s="4">
        <v>3</v>
      </c>
      <c r="E6" s="4">
        <v>3</v>
      </c>
      <c r="F6" s="4">
        <v>3</v>
      </c>
      <c r="G6" s="4">
        <v>2</v>
      </c>
      <c r="H6" s="4">
        <v>2</v>
      </c>
      <c r="I6" s="4">
        <v>3</v>
      </c>
      <c r="J6" s="4">
        <v>0</v>
      </c>
      <c r="K6" s="4">
        <v>2</v>
      </c>
      <c r="L6" s="4">
        <v>2</v>
      </c>
      <c r="M6" s="4">
        <v>2</v>
      </c>
      <c r="N6" s="4">
        <v>6</v>
      </c>
      <c r="O6" s="4">
        <f t="shared" si="0"/>
        <v>0</v>
      </c>
    </row>
    <row r="7" spans="1:15" ht="14.4" x14ac:dyDescent="0.3">
      <c r="A7" s="3" t="s">
        <v>20</v>
      </c>
      <c r="B7" s="4">
        <v>30</v>
      </c>
      <c r="C7" s="4">
        <v>1</v>
      </c>
      <c r="D7" s="4">
        <v>0</v>
      </c>
      <c r="E7" s="4">
        <v>2</v>
      </c>
      <c r="F7" s="4">
        <v>2</v>
      </c>
      <c r="G7" s="4">
        <v>1</v>
      </c>
      <c r="H7" s="4">
        <v>2</v>
      </c>
      <c r="I7" s="4">
        <v>7</v>
      </c>
      <c r="J7" s="4">
        <v>0</v>
      </c>
      <c r="K7" s="4">
        <v>1</v>
      </c>
      <c r="L7" s="4">
        <v>1</v>
      </c>
      <c r="M7" s="4">
        <v>2</v>
      </c>
      <c r="N7" s="4">
        <v>11</v>
      </c>
      <c r="O7" s="4">
        <f t="shared" si="0"/>
        <v>0</v>
      </c>
    </row>
    <row r="8" spans="1:15" ht="14.4" x14ac:dyDescent="0.3">
      <c r="A8" s="3" t="s">
        <v>35</v>
      </c>
      <c r="B8" s="4">
        <v>23</v>
      </c>
      <c r="C8" s="4">
        <v>1</v>
      </c>
      <c r="D8" s="4">
        <v>0</v>
      </c>
      <c r="E8" s="4">
        <v>1</v>
      </c>
      <c r="F8" s="4">
        <v>1</v>
      </c>
      <c r="G8" s="4">
        <v>0</v>
      </c>
      <c r="H8" s="4">
        <v>2</v>
      </c>
      <c r="I8" s="4">
        <v>2</v>
      </c>
      <c r="J8" s="4">
        <v>0</v>
      </c>
      <c r="K8" s="4">
        <v>2</v>
      </c>
      <c r="L8" s="4">
        <v>0</v>
      </c>
      <c r="M8" s="4">
        <v>2</v>
      </c>
      <c r="N8" s="4">
        <v>12</v>
      </c>
      <c r="O8" s="4">
        <f t="shared" si="0"/>
        <v>0</v>
      </c>
    </row>
    <row r="9" spans="1:15" ht="14.4" x14ac:dyDescent="0.3">
      <c r="A9" s="3" t="s">
        <v>21</v>
      </c>
      <c r="B9" s="4">
        <v>30</v>
      </c>
      <c r="C9" s="4">
        <v>1</v>
      </c>
      <c r="D9" s="4">
        <v>0</v>
      </c>
      <c r="E9" s="4">
        <v>3</v>
      </c>
      <c r="F9" s="4">
        <v>2</v>
      </c>
      <c r="G9" s="4">
        <v>1</v>
      </c>
      <c r="H9" s="4">
        <v>5</v>
      </c>
      <c r="I9" s="4">
        <v>2</v>
      </c>
      <c r="J9" s="4">
        <v>0</v>
      </c>
      <c r="K9" s="4">
        <v>2</v>
      </c>
      <c r="L9" s="4">
        <v>1</v>
      </c>
      <c r="M9" s="4">
        <v>2</v>
      </c>
      <c r="N9" s="4">
        <v>11</v>
      </c>
      <c r="O9" s="4">
        <f t="shared" si="0"/>
        <v>0</v>
      </c>
    </row>
    <row r="10" spans="1:15" ht="14.4" x14ac:dyDescent="0.3">
      <c r="A10" s="3" t="s">
        <v>37</v>
      </c>
      <c r="B10" s="4">
        <v>23</v>
      </c>
      <c r="C10" s="4">
        <v>2</v>
      </c>
      <c r="D10" s="4">
        <v>1</v>
      </c>
      <c r="E10" s="4">
        <v>1</v>
      </c>
      <c r="F10" s="4">
        <v>2</v>
      </c>
      <c r="G10" s="18"/>
      <c r="H10" s="18"/>
      <c r="I10" s="18"/>
      <c r="J10" s="18"/>
      <c r="K10" s="18"/>
      <c r="L10" s="18"/>
      <c r="M10" s="18"/>
      <c r="N10" s="18"/>
      <c r="O10" s="18">
        <f t="shared" si="0"/>
        <v>17</v>
      </c>
    </row>
    <row r="11" spans="1:15" ht="14.4" x14ac:dyDescent="0.3">
      <c r="A11" s="3" t="s">
        <v>23</v>
      </c>
      <c r="B11" s="4">
        <v>31</v>
      </c>
      <c r="C11" s="4">
        <v>2</v>
      </c>
      <c r="D11" s="4">
        <v>1</v>
      </c>
      <c r="E11" s="4">
        <v>2</v>
      </c>
      <c r="F11" s="4">
        <v>2</v>
      </c>
      <c r="G11" s="4">
        <v>0</v>
      </c>
      <c r="H11" s="4">
        <v>5</v>
      </c>
      <c r="I11" s="4">
        <v>3</v>
      </c>
      <c r="J11" s="4">
        <v>0</v>
      </c>
      <c r="K11" s="4">
        <v>1</v>
      </c>
      <c r="L11" s="4">
        <v>5</v>
      </c>
      <c r="M11" s="4">
        <v>1</v>
      </c>
      <c r="N11" s="4">
        <v>9</v>
      </c>
      <c r="O11" s="4">
        <f t="shared" si="0"/>
        <v>0</v>
      </c>
    </row>
    <row r="12" spans="1:15" ht="14.4" x14ac:dyDescent="0.3">
      <c r="A12" s="3" t="s">
        <v>38</v>
      </c>
      <c r="B12" s="4">
        <v>19</v>
      </c>
      <c r="C12" s="18"/>
      <c r="D12" s="18"/>
      <c r="E12" s="18"/>
      <c r="F12" s="18"/>
      <c r="G12" s="4">
        <v>0</v>
      </c>
      <c r="H12" s="4">
        <v>0</v>
      </c>
      <c r="I12" s="9"/>
      <c r="J12" s="9"/>
      <c r="K12" s="9"/>
      <c r="L12" s="9"/>
      <c r="M12" s="9"/>
      <c r="N12" s="9"/>
      <c r="O12" s="9"/>
    </row>
    <row r="13" spans="1:15" ht="14.4" x14ac:dyDescent="0.3">
      <c r="A13" s="13" t="s">
        <v>28</v>
      </c>
      <c r="B13" s="4">
        <v>9</v>
      </c>
      <c r="C13" s="9"/>
      <c r="D13" s="9"/>
      <c r="E13" s="9"/>
      <c r="F13" s="9"/>
      <c r="G13" s="9"/>
      <c r="H13" s="9"/>
      <c r="I13" s="4">
        <v>0</v>
      </c>
      <c r="J13" s="4">
        <v>0</v>
      </c>
      <c r="K13" s="4">
        <v>1</v>
      </c>
      <c r="L13" s="4">
        <v>0</v>
      </c>
      <c r="M13" s="4">
        <v>0</v>
      </c>
      <c r="N13" s="4">
        <v>8</v>
      </c>
      <c r="O13" s="4">
        <f>B13-I13-J13-K13-L13-M13-N13</f>
        <v>0</v>
      </c>
    </row>
    <row r="14" spans="1:15" ht="14.4" x14ac:dyDescent="0.3">
      <c r="A14" s="13" t="s">
        <v>39</v>
      </c>
      <c r="J14" s="4" t="s">
        <v>40</v>
      </c>
      <c r="K14" s="4" t="s">
        <v>41</v>
      </c>
    </row>
    <row r="16" spans="1:15" ht="14.4" x14ac:dyDescent="0.3">
      <c r="A16" s="14" t="s">
        <v>30</v>
      </c>
    </row>
    <row r="17" spans="1:15" ht="14.4" x14ac:dyDescent="0.3">
      <c r="A17" s="15" t="s">
        <v>0</v>
      </c>
      <c r="B17" s="1" t="s">
        <v>1</v>
      </c>
      <c r="C17" s="2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  <c r="O17" s="1" t="s">
        <v>14</v>
      </c>
    </row>
    <row r="18" spans="1:15" ht="14.4" x14ac:dyDescent="0.3">
      <c r="A18" s="16" t="s">
        <v>20</v>
      </c>
      <c r="B18" s="4">
        <v>35</v>
      </c>
      <c r="C18" s="4">
        <v>1</v>
      </c>
      <c r="D18" s="4">
        <v>0</v>
      </c>
      <c r="E18" s="4">
        <v>2</v>
      </c>
      <c r="F18" s="4">
        <v>3</v>
      </c>
      <c r="G18" s="4">
        <v>1</v>
      </c>
      <c r="H18" s="4">
        <v>4</v>
      </c>
      <c r="I18" s="4">
        <v>7</v>
      </c>
      <c r="J18" s="4">
        <v>0</v>
      </c>
      <c r="K18" s="4">
        <v>1</v>
      </c>
      <c r="L18" s="4">
        <v>1</v>
      </c>
      <c r="M18" s="4">
        <v>3</v>
      </c>
      <c r="N18" s="4">
        <v>12</v>
      </c>
      <c r="O18" s="4">
        <f>B18-C18-D18-E18-F18-G18-H18-I18-J18-K18-L18-M18-N18</f>
        <v>0</v>
      </c>
    </row>
    <row r="21" spans="1:15" ht="15.75" customHeight="1" x14ac:dyDescent="0.3"/>
    <row r="22" spans="1:15" ht="15.75" customHeight="1" x14ac:dyDescent="0.3"/>
    <row r="23" spans="1:15" ht="15.75" customHeight="1" x14ac:dyDescent="0.3"/>
    <row r="24" spans="1:15" ht="15.75" customHeight="1" x14ac:dyDescent="0.3"/>
    <row r="25" spans="1:15" ht="15.75" customHeight="1" x14ac:dyDescent="0.3"/>
    <row r="26" spans="1:15" ht="15.75" customHeight="1" x14ac:dyDescent="0.3"/>
    <row r="27" spans="1:15" ht="15.75" customHeight="1" x14ac:dyDescent="0.3"/>
    <row r="28" spans="1:15" ht="15.75" customHeight="1" x14ac:dyDescent="0.3"/>
    <row r="29" spans="1:15" ht="15.75" customHeight="1" x14ac:dyDescent="0.3"/>
    <row r="30" spans="1:15" ht="15.75" customHeight="1" x14ac:dyDescent="0.3"/>
    <row r="31" spans="1:15" ht="15.75" customHeight="1" x14ac:dyDescent="0.3"/>
    <row r="32" spans="1:1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/>
  </sheetViews>
  <sheetFormatPr defaultColWidth="14.44140625" defaultRowHeight="15" customHeight="1" x14ac:dyDescent="0.3"/>
  <cols>
    <col min="1" max="2" width="22.6640625" customWidth="1"/>
    <col min="3" max="3" width="19.6640625" customWidth="1"/>
    <col min="4" max="4" width="21.6640625" customWidth="1"/>
    <col min="5" max="5" width="37.5546875" customWidth="1"/>
    <col min="6" max="6" width="10.88671875" customWidth="1"/>
    <col min="7" max="7" width="13.33203125" customWidth="1"/>
  </cols>
  <sheetData>
    <row r="1" spans="1:7" ht="14.4" x14ac:dyDescent="0.3">
      <c r="A1" s="14" t="s">
        <v>0</v>
      </c>
      <c r="B1" s="14" t="s">
        <v>42</v>
      </c>
      <c r="C1" s="14" t="s">
        <v>43</v>
      </c>
      <c r="D1" s="14" t="s">
        <v>44</v>
      </c>
      <c r="E1" s="14" t="s">
        <v>45</v>
      </c>
      <c r="F1" s="14" t="s">
        <v>46</v>
      </c>
      <c r="G1" s="14" t="s">
        <v>47</v>
      </c>
    </row>
    <row r="2" spans="1:7" ht="14.4" x14ac:dyDescent="0.3">
      <c r="A2" s="21" t="s">
        <v>48</v>
      </c>
      <c r="B2" s="21" t="s">
        <v>48</v>
      </c>
      <c r="C2" s="4" t="s">
        <v>49</v>
      </c>
      <c r="D2" s="21" t="s">
        <v>50</v>
      </c>
      <c r="E2" s="21" t="s">
        <v>51</v>
      </c>
      <c r="F2" s="21">
        <v>122167186</v>
      </c>
      <c r="G2" s="22">
        <v>8486782864</v>
      </c>
    </row>
    <row r="3" spans="1:7" ht="14.4" x14ac:dyDescent="0.3">
      <c r="A3" s="4" t="s">
        <v>52</v>
      </c>
      <c r="B3" s="4" t="s">
        <v>52</v>
      </c>
      <c r="C3" s="4" t="s">
        <v>53</v>
      </c>
      <c r="D3" s="21" t="s">
        <v>54</v>
      </c>
      <c r="E3" s="21" t="s">
        <v>55</v>
      </c>
      <c r="F3" s="23">
        <v>117335329</v>
      </c>
      <c r="G3" s="22">
        <v>8487292704</v>
      </c>
    </row>
    <row r="4" spans="1:7" ht="14.4" x14ac:dyDescent="0.3">
      <c r="A4" s="4" t="s">
        <v>56</v>
      </c>
      <c r="B4" s="4" t="s">
        <v>56</v>
      </c>
      <c r="C4" s="4" t="s">
        <v>57</v>
      </c>
      <c r="D4" s="4" t="s">
        <v>58</v>
      </c>
      <c r="E4" s="21" t="s">
        <v>59</v>
      </c>
      <c r="F4" s="23">
        <v>117419445</v>
      </c>
      <c r="G4" s="24">
        <v>8487710131</v>
      </c>
    </row>
    <row r="6" spans="1:7" ht="14.4" x14ac:dyDescent="0.3">
      <c r="A6" s="4" t="s">
        <v>60</v>
      </c>
      <c r="B6" s="4" t="s">
        <v>60</v>
      </c>
      <c r="C6" s="4" t="s">
        <v>61</v>
      </c>
      <c r="D6" s="4" t="s">
        <v>62</v>
      </c>
      <c r="E6" s="4" t="s">
        <v>63</v>
      </c>
      <c r="F6" s="25">
        <v>120747698</v>
      </c>
      <c r="G6" s="4">
        <v>8497871375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00"/>
  <sheetViews>
    <sheetView workbookViewId="0"/>
  </sheetViews>
  <sheetFormatPr defaultColWidth="14.44140625" defaultRowHeight="15" customHeight="1" x14ac:dyDescent="0.3"/>
  <cols>
    <col min="1" max="1" width="20.88671875" customWidth="1"/>
    <col min="2" max="15" width="8.6640625" customWidth="1"/>
  </cols>
  <sheetData>
    <row r="1" spans="1:15" ht="14.4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4" x14ac:dyDescent="0.3">
      <c r="A2" s="3" t="s">
        <v>15</v>
      </c>
      <c r="B2" s="1">
        <v>30</v>
      </c>
      <c r="C2" s="2">
        <v>4</v>
      </c>
      <c r="D2" s="1">
        <v>2</v>
      </c>
      <c r="E2" s="1">
        <v>5</v>
      </c>
      <c r="F2" s="1">
        <v>4</v>
      </c>
      <c r="G2" s="1">
        <v>2</v>
      </c>
      <c r="H2" s="1">
        <v>2</v>
      </c>
      <c r="I2" s="1">
        <v>0</v>
      </c>
      <c r="J2" s="26">
        <v>0</v>
      </c>
      <c r="K2" s="1">
        <v>1</v>
      </c>
      <c r="L2" s="1">
        <v>2</v>
      </c>
      <c r="M2" s="1">
        <v>2</v>
      </c>
      <c r="N2" s="1"/>
      <c r="O2" s="1">
        <f t="shared" ref="O2:O10" si="0">B2-C2-D2-E2-F2-G2-H2-I2-K2-J2-L2-M2-N2</f>
        <v>6</v>
      </c>
    </row>
    <row r="3" spans="1:15" ht="14.4" x14ac:dyDescent="0.3">
      <c r="A3" s="3" t="s">
        <v>31</v>
      </c>
      <c r="B3" s="1">
        <v>28</v>
      </c>
      <c r="C3" s="2">
        <v>4</v>
      </c>
      <c r="D3" s="1">
        <v>2</v>
      </c>
      <c r="E3" s="1">
        <v>5</v>
      </c>
      <c r="F3" s="1">
        <v>3</v>
      </c>
      <c r="G3" s="1">
        <v>2</v>
      </c>
      <c r="H3" s="1">
        <v>2</v>
      </c>
      <c r="I3" s="1">
        <v>0</v>
      </c>
      <c r="J3" s="26">
        <v>0</v>
      </c>
      <c r="K3" s="1">
        <v>1</v>
      </c>
      <c r="L3" s="1">
        <v>2</v>
      </c>
      <c r="M3" s="1">
        <v>1</v>
      </c>
      <c r="N3" s="1"/>
      <c r="O3" s="1">
        <f t="shared" si="0"/>
        <v>6</v>
      </c>
    </row>
    <row r="4" spans="1:15" ht="14.4" x14ac:dyDescent="0.3">
      <c r="A4" s="27" t="s">
        <v>18</v>
      </c>
      <c r="B4" s="28">
        <v>32</v>
      </c>
      <c r="C4" s="28">
        <v>5</v>
      </c>
      <c r="D4" s="28">
        <v>2</v>
      </c>
      <c r="E4" s="28">
        <v>5</v>
      </c>
      <c r="F4" s="28">
        <v>6</v>
      </c>
      <c r="G4" s="28">
        <v>2</v>
      </c>
      <c r="H4" s="28">
        <v>2</v>
      </c>
      <c r="I4" s="28">
        <v>1</v>
      </c>
      <c r="J4" s="29">
        <v>0</v>
      </c>
      <c r="K4" s="28">
        <v>1</v>
      </c>
      <c r="L4" s="28">
        <v>2</v>
      </c>
      <c r="M4" s="28">
        <v>2</v>
      </c>
      <c r="N4" s="28"/>
      <c r="O4" s="1">
        <f t="shared" si="0"/>
        <v>4</v>
      </c>
    </row>
    <row r="5" spans="1:15" ht="14.4" x14ac:dyDescent="0.3">
      <c r="A5" s="3" t="s">
        <v>35</v>
      </c>
      <c r="B5" s="28">
        <v>23</v>
      </c>
      <c r="C5" s="28">
        <v>2</v>
      </c>
      <c r="D5" s="28">
        <v>0</v>
      </c>
      <c r="E5" s="28">
        <v>3</v>
      </c>
      <c r="F5" s="28">
        <v>3</v>
      </c>
      <c r="G5" s="28">
        <v>2</v>
      </c>
      <c r="H5" s="28">
        <v>1</v>
      </c>
      <c r="I5" s="28">
        <v>2</v>
      </c>
      <c r="J5" s="26">
        <v>0</v>
      </c>
      <c r="K5" s="28">
        <v>1</v>
      </c>
      <c r="L5" s="28">
        <v>1</v>
      </c>
      <c r="M5" s="28">
        <v>1</v>
      </c>
      <c r="N5" s="28"/>
      <c r="O5" s="1">
        <f t="shared" si="0"/>
        <v>7</v>
      </c>
    </row>
    <row r="6" spans="1:15" ht="14.4" x14ac:dyDescent="0.3">
      <c r="A6" s="3" t="s">
        <v>37</v>
      </c>
      <c r="B6" s="28">
        <v>22</v>
      </c>
      <c r="C6" s="28">
        <v>3</v>
      </c>
      <c r="D6" s="28">
        <v>2</v>
      </c>
      <c r="E6" s="28">
        <v>5</v>
      </c>
      <c r="F6" s="28">
        <v>2</v>
      </c>
      <c r="G6" s="28">
        <v>1</v>
      </c>
      <c r="H6" s="28">
        <v>0</v>
      </c>
      <c r="I6" s="28">
        <v>0</v>
      </c>
      <c r="J6" s="26">
        <v>0</v>
      </c>
      <c r="K6" s="28">
        <v>0</v>
      </c>
      <c r="L6" s="28">
        <v>2</v>
      </c>
      <c r="M6" s="28">
        <v>1</v>
      </c>
      <c r="N6" s="28"/>
      <c r="O6" s="1">
        <f t="shared" si="0"/>
        <v>6</v>
      </c>
    </row>
    <row r="7" spans="1:15" ht="14.4" x14ac:dyDescent="0.3">
      <c r="A7" s="16" t="s">
        <v>23</v>
      </c>
      <c r="B7" s="28">
        <v>32</v>
      </c>
      <c r="C7" s="28">
        <v>3</v>
      </c>
      <c r="D7" s="28">
        <v>2</v>
      </c>
      <c r="E7" s="28">
        <v>6</v>
      </c>
      <c r="F7" s="28">
        <v>4</v>
      </c>
      <c r="G7" s="28">
        <v>2</v>
      </c>
      <c r="H7" s="28">
        <v>1</v>
      </c>
      <c r="I7" s="28">
        <v>1</v>
      </c>
      <c r="J7" s="26">
        <v>0</v>
      </c>
      <c r="K7" s="28">
        <v>1</v>
      </c>
      <c r="L7" s="28">
        <v>3</v>
      </c>
      <c r="M7" s="28">
        <v>2</v>
      </c>
      <c r="N7" s="28"/>
      <c r="O7" s="1">
        <f t="shared" si="0"/>
        <v>7</v>
      </c>
    </row>
    <row r="8" spans="1:15" ht="14.4" x14ac:dyDescent="0.3">
      <c r="A8" s="1" t="s">
        <v>64</v>
      </c>
      <c r="B8" s="28">
        <v>23</v>
      </c>
      <c r="C8" s="28">
        <v>3</v>
      </c>
      <c r="D8" s="28">
        <v>0</v>
      </c>
      <c r="E8" s="28">
        <v>4</v>
      </c>
      <c r="F8" s="28">
        <v>3</v>
      </c>
      <c r="G8" s="28">
        <v>1</v>
      </c>
      <c r="H8" s="28">
        <v>1</v>
      </c>
      <c r="I8" s="28">
        <v>0</v>
      </c>
      <c r="J8" s="26">
        <v>0</v>
      </c>
      <c r="K8" s="28">
        <v>1</v>
      </c>
      <c r="L8" s="28">
        <v>5</v>
      </c>
      <c r="M8" s="30"/>
      <c r="N8" s="30"/>
      <c r="O8" s="31">
        <f t="shared" si="0"/>
        <v>5</v>
      </c>
    </row>
    <row r="9" spans="1:15" ht="14.4" x14ac:dyDescent="0.3">
      <c r="A9" s="16" t="s">
        <v>65</v>
      </c>
      <c r="B9" s="28">
        <v>27</v>
      </c>
      <c r="C9" s="28">
        <v>3</v>
      </c>
      <c r="D9" s="28">
        <v>0</v>
      </c>
      <c r="E9" s="28">
        <v>2</v>
      </c>
      <c r="F9" s="28">
        <v>3</v>
      </c>
      <c r="G9" s="28">
        <v>4</v>
      </c>
      <c r="H9" s="28">
        <v>1</v>
      </c>
      <c r="I9" s="28">
        <v>2</v>
      </c>
      <c r="J9" s="26">
        <v>0</v>
      </c>
      <c r="K9" s="28">
        <v>1</v>
      </c>
      <c r="L9" s="28">
        <v>3</v>
      </c>
      <c r="M9" s="28">
        <v>3</v>
      </c>
      <c r="N9" s="28"/>
      <c r="O9" s="1">
        <f t="shared" si="0"/>
        <v>5</v>
      </c>
    </row>
    <row r="10" spans="1:15" ht="14.4" x14ac:dyDescent="0.3">
      <c r="A10" s="1" t="s">
        <v>29</v>
      </c>
      <c r="B10" s="28">
        <v>20</v>
      </c>
      <c r="C10" s="28">
        <v>0</v>
      </c>
      <c r="D10" s="28">
        <v>0</v>
      </c>
      <c r="E10" s="28">
        <v>3</v>
      </c>
      <c r="F10" s="28">
        <v>2</v>
      </c>
      <c r="G10" s="28">
        <v>2</v>
      </c>
      <c r="H10" s="28">
        <v>0</v>
      </c>
      <c r="I10" s="28">
        <v>2</v>
      </c>
      <c r="J10" s="26">
        <v>0</v>
      </c>
      <c r="K10" s="28">
        <v>0</v>
      </c>
      <c r="L10" s="28">
        <v>5</v>
      </c>
      <c r="M10" s="30"/>
      <c r="N10" s="30"/>
      <c r="O10" s="31">
        <f t="shared" si="0"/>
        <v>6</v>
      </c>
    </row>
    <row r="13" spans="1:15" ht="14.4" x14ac:dyDescent="0.3">
      <c r="A13" s="14" t="s">
        <v>30</v>
      </c>
      <c r="B13" s="32"/>
    </row>
    <row r="14" spans="1:15" ht="14.4" x14ac:dyDescent="0.3">
      <c r="A14" s="15" t="s">
        <v>0</v>
      </c>
      <c r="B14" s="33" t="s">
        <v>1</v>
      </c>
      <c r="C14" s="2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  <c r="K14" s="1" t="s">
        <v>10</v>
      </c>
      <c r="L14" s="1" t="s">
        <v>11</v>
      </c>
      <c r="M14" s="1" t="s">
        <v>12</v>
      </c>
      <c r="N14" s="1" t="s">
        <v>13</v>
      </c>
      <c r="O14" s="1" t="s">
        <v>14</v>
      </c>
    </row>
    <row r="15" spans="1:15" ht="14.4" x14ac:dyDescent="0.3">
      <c r="A15" s="16" t="s">
        <v>20</v>
      </c>
      <c r="B15" s="28">
        <v>38</v>
      </c>
      <c r="C15" s="28">
        <v>5</v>
      </c>
      <c r="D15" s="28">
        <v>2</v>
      </c>
      <c r="E15" s="28">
        <v>5</v>
      </c>
      <c r="F15" s="28">
        <v>5</v>
      </c>
      <c r="G15" s="28">
        <v>5</v>
      </c>
      <c r="H15" s="28">
        <v>0</v>
      </c>
      <c r="I15" s="28">
        <v>1</v>
      </c>
      <c r="J15" s="28">
        <v>3</v>
      </c>
      <c r="K15" s="28">
        <v>0</v>
      </c>
      <c r="L15" s="28">
        <v>4</v>
      </c>
      <c r="M15" s="28">
        <v>1</v>
      </c>
      <c r="N15" s="28"/>
      <c r="O15" s="28">
        <f>B15-C15-D15-E15-F15-G15-H15-I15-K15-J15-L15-M15-N15</f>
        <v>7</v>
      </c>
    </row>
    <row r="16" spans="1:15" ht="14.4" x14ac:dyDescent="0.3">
      <c r="F16" s="4"/>
      <c r="G16" s="34"/>
    </row>
    <row r="17" spans="4:7" ht="14.4" x14ac:dyDescent="0.3">
      <c r="F17" s="4"/>
      <c r="G17" s="34"/>
    </row>
    <row r="18" spans="4:7" ht="14.4" x14ac:dyDescent="0.3">
      <c r="D18" s="35"/>
      <c r="F18" s="4"/>
      <c r="G18" s="34"/>
    </row>
    <row r="19" spans="4:7" ht="14.4" x14ac:dyDescent="0.3">
      <c r="F19" s="4"/>
      <c r="G19" s="34"/>
    </row>
    <row r="21" spans="4:7" ht="15.75" customHeight="1" x14ac:dyDescent="0.3"/>
    <row r="22" spans="4:7" ht="15.75" customHeight="1" x14ac:dyDescent="0.3"/>
    <row r="23" spans="4:7" ht="15.75" customHeight="1" x14ac:dyDescent="0.3"/>
    <row r="24" spans="4:7" ht="15.75" customHeight="1" x14ac:dyDescent="0.3"/>
    <row r="25" spans="4:7" ht="15.75" customHeight="1" x14ac:dyDescent="0.3"/>
    <row r="26" spans="4:7" ht="15.75" customHeight="1" x14ac:dyDescent="0.3"/>
    <row r="27" spans="4:7" ht="15.75" customHeight="1" x14ac:dyDescent="0.3"/>
    <row r="28" spans="4:7" ht="15.75" customHeight="1" x14ac:dyDescent="0.3"/>
    <row r="29" spans="4:7" ht="15.75" customHeight="1" x14ac:dyDescent="0.3"/>
    <row r="30" spans="4:7" ht="15.75" customHeight="1" x14ac:dyDescent="0.3"/>
    <row r="31" spans="4:7" ht="15.75" customHeight="1" x14ac:dyDescent="0.3"/>
    <row r="32" spans="4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00"/>
  <sheetViews>
    <sheetView workbookViewId="0"/>
  </sheetViews>
  <sheetFormatPr defaultColWidth="14.44140625" defaultRowHeight="15" customHeight="1" x14ac:dyDescent="0.3"/>
  <cols>
    <col min="1" max="1" width="20.44140625" customWidth="1"/>
    <col min="2" max="16" width="8.6640625" customWidth="1"/>
  </cols>
  <sheetData>
    <row r="1" spans="1:16" ht="14.4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 ht="14.4" x14ac:dyDescent="0.3">
      <c r="A2" s="3" t="s">
        <v>15</v>
      </c>
      <c r="B2" s="1">
        <v>33</v>
      </c>
      <c r="C2" s="2">
        <v>3</v>
      </c>
      <c r="D2" s="1">
        <v>0</v>
      </c>
      <c r="E2" s="1">
        <v>0</v>
      </c>
      <c r="F2" s="1">
        <v>2</v>
      </c>
      <c r="G2" s="1">
        <v>0</v>
      </c>
      <c r="H2" s="1">
        <v>3</v>
      </c>
      <c r="I2" s="1">
        <v>3</v>
      </c>
      <c r="J2" s="1">
        <v>6</v>
      </c>
      <c r="K2" s="1">
        <v>1</v>
      </c>
      <c r="L2" s="1">
        <v>3</v>
      </c>
      <c r="M2" s="1">
        <v>4</v>
      </c>
      <c r="N2" s="1">
        <v>8</v>
      </c>
      <c r="O2" s="1">
        <f t="shared" ref="O2:O3" si="0">B2-C2-D2-E2-F2-G2-H2-I2-J2-K2-L2-M2-N2</f>
        <v>0</v>
      </c>
    </row>
    <row r="3" spans="1:16" ht="14.4" x14ac:dyDescent="0.3">
      <c r="A3" s="3" t="s">
        <v>31</v>
      </c>
      <c r="B3" s="1">
        <v>30</v>
      </c>
      <c r="C3" s="2">
        <v>3</v>
      </c>
      <c r="D3" s="1">
        <v>0</v>
      </c>
      <c r="E3" s="1">
        <v>0</v>
      </c>
      <c r="F3" s="1">
        <v>2</v>
      </c>
      <c r="G3" s="1">
        <v>0</v>
      </c>
      <c r="H3" s="1">
        <v>2</v>
      </c>
      <c r="I3" s="1">
        <v>1</v>
      </c>
      <c r="J3" s="1">
        <v>6</v>
      </c>
      <c r="K3" s="1">
        <v>1</v>
      </c>
      <c r="L3" s="1">
        <v>3</v>
      </c>
      <c r="M3" s="1">
        <v>4</v>
      </c>
      <c r="N3" s="1">
        <v>8</v>
      </c>
      <c r="O3" s="1">
        <f t="shared" si="0"/>
        <v>0</v>
      </c>
    </row>
    <row r="4" spans="1:16" ht="14.4" x14ac:dyDescent="0.3">
      <c r="A4" s="3" t="s">
        <v>66</v>
      </c>
      <c r="B4" s="36"/>
      <c r="C4" s="37"/>
      <c r="D4" s="36"/>
      <c r="E4" s="36"/>
      <c r="F4" s="36"/>
      <c r="G4" s="36"/>
      <c r="H4" s="36"/>
      <c r="I4" s="1">
        <v>0</v>
      </c>
      <c r="J4" s="1">
        <v>1</v>
      </c>
      <c r="K4" s="1">
        <v>3</v>
      </c>
      <c r="L4" s="36"/>
      <c r="M4" s="36"/>
      <c r="N4" s="36"/>
      <c r="O4" s="36">
        <f>11-I4-J4-K4-L4-M4-N4</f>
        <v>7</v>
      </c>
    </row>
    <row r="5" spans="1:16" ht="14.4" x14ac:dyDescent="0.3">
      <c r="A5" s="3" t="s">
        <v>67</v>
      </c>
      <c r="B5" s="28">
        <v>29</v>
      </c>
      <c r="C5" s="28">
        <v>3</v>
      </c>
      <c r="D5" s="28">
        <v>3</v>
      </c>
      <c r="E5" s="28">
        <v>2</v>
      </c>
      <c r="F5" s="28">
        <v>4</v>
      </c>
      <c r="G5" s="28">
        <v>2</v>
      </c>
      <c r="H5" s="28">
        <v>1</v>
      </c>
      <c r="I5" s="28">
        <v>3</v>
      </c>
      <c r="J5" s="28">
        <v>9</v>
      </c>
      <c r="K5" s="28">
        <v>0</v>
      </c>
      <c r="L5" s="28">
        <v>0</v>
      </c>
      <c r="M5" s="28">
        <v>0</v>
      </c>
      <c r="N5" s="28">
        <v>2</v>
      </c>
      <c r="O5" s="1">
        <f t="shared" ref="O5:O11" si="1">B5-C5-D5-E5-F5-G5-H5-I5-J5-K5-L5-M5-N5</f>
        <v>0</v>
      </c>
    </row>
    <row r="6" spans="1:16" ht="14.4" hidden="1" x14ac:dyDescent="0.3">
      <c r="A6" s="3" t="s">
        <v>68</v>
      </c>
      <c r="B6" s="28">
        <v>22</v>
      </c>
      <c r="C6" s="28">
        <v>3</v>
      </c>
      <c r="D6" s="28">
        <v>0</v>
      </c>
      <c r="E6" s="28">
        <v>0</v>
      </c>
      <c r="F6" s="28">
        <v>1</v>
      </c>
      <c r="G6" s="28">
        <v>8</v>
      </c>
      <c r="H6" s="28">
        <v>0</v>
      </c>
      <c r="I6" s="28">
        <v>0</v>
      </c>
      <c r="J6" s="28">
        <v>1</v>
      </c>
      <c r="K6" s="38"/>
      <c r="L6" s="38"/>
      <c r="M6" s="38"/>
      <c r="N6" s="38"/>
      <c r="O6" s="36">
        <f t="shared" si="1"/>
        <v>9</v>
      </c>
    </row>
    <row r="7" spans="1:16" ht="14.4" hidden="1" x14ac:dyDescent="0.3">
      <c r="A7" s="3" t="s">
        <v>69</v>
      </c>
      <c r="B7" s="28">
        <v>25</v>
      </c>
      <c r="C7" s="28">
        <v>4</v>
      </c>
      <c r="D7" s="28">
        <v>1</v>
      </c>
      <c r="E7" s="39">
        <v>5</v>
      </c>
      <c r="F7" s="39" t="s">
        <v>70</v>
      </c>
      <c r="G7" s="28" t="s">
        <v>70</v>
      </c>
      <c r="H7" s="28" t="s">
        <v>70</v>
      </c>
      <c r="I7" s="40"/>
      <c r="J7" s="40"/>
      <c r="K7" s="40"/>
      <c r="L7" s="40"/>
      <c r="M7" s="40"/>
      <c r="N7" s="40"/>
      <c r="O7" s="1" t="e">
        <f t="shared" si="1"/>
        <v>#VALUE!</v>
      </c>
      <c r="P7" s="4"/>
    </row>
    <row r="8" spans="1:16" ht="14.4" hidden="1" x14ac:dyDescent="0.3">
      <c r="A8" s="3" t="s">
        <v>71</v>
      </c>
      <c r="B8" s="28">
        <v>32</v>
      </c>
      <c r="C8" s="28">
        <v>4</v>
      </c>
      <c r="D8" s="28">
        <v>2</v>
      </c>
      <c r="E8" s="28">
        <v>0</v>
      </c>
      <c r="F8" s="39"/>
      <c r="G8" s="28">
        <v>6</v>
      </c>
      <c r="H8" s="38"/>
      <c r="I8" s="38"/>
      <c r="J8" s="38"/>
      <c r="K8" s="38"/>
      <c r="L8" s="38"/>
      <c r="M8" s="38"/>
      <c r="N8" s="38"/>
      <c r="O8" s="1">
        <f t="shared" si="1"/>
        <v>20</v>
      </c>
    </row>
    <row r="9" spans="1:16" ht="14.4" x14ac:dyDescent="0.3">
      <c r="A9" s="27" t="s">
        <v>18</v>
      </c>
      <c r="B9" s="28">
        <v>25</v>
      </c>
      <c r="C9" s="41"/>
      <c r="D9" s="41"/>
      <c r="E9" s="28">
        <v>0</v>
      </c>
      <c r="F9" s="28">
        <v>0</v>
      </c>
      <c r="G9" s="28">
        <v>0</v>
      </c>
      <c r="H9" s="28">
        <v>3</v>
      </c>
      <c r="I9" s="28">
        <v>1</v>
      </c>
      <c r="J9" s="28">
        <v>5</v>
      </c>
      <c r="K9" s="28">
        <v>2</v>
      </c>
      <c r="L9" s="28">
        <v>4</v>
      </c>
      <c r="M9" s="28">
        <v>3</v>
      </c>
      <c r="N9" s="28">
        <v>7</v>
      </c>
      <c r="O9" s="1">
        <f t="shared" si="1"/>
        <v>0</v>
      </c>
    </row>
    <row r="10" spans="1:16" ht="14.4" hidden="1" x14ac:dyDescent="0.3">
      <c r="A10" s="1" t="s">
        <v>72</v>
      </c>
      <c r="B10" s="28">
        <v>19</v>
      </c>
      <c r="C10" s="41"/>
      <c r="D10" s="28">
        <v>1</v>
      </c>
      <c r="E10" s="28">
        <v>1</v>
      </c>
      <c r="F10" s="28">
        <v>0</v>
      </c>
      <c r="G10" s="28">
        <v>0</v>
      </c>
      <c r="H10" s="28">
        <v>2</v>
      </c>
      <c r="I10" s="28">
        <v>2</v>
      </c>
      <c r="J10" s="38"/>
      <c r="K10" s="38"/>
      <c r="L10" s="38"/>
      <c r="M10" s="38"/>
      <c r="N10" s="38"/>
      <c r="O10" s="1">
        <f t="shared" si="1"/>
        <v>13</v>
      </c>
    </row>
    <row r="11" spans="1:16" ht="14.4" x14ac:dyDescent="0.3">
      <c r="A11" s="3" t="s">
        <v>35</v>
      </c>
      <c r="B11" s="28">
        <v>21</v>
      </c>
      <c r="C11" s="28">
        <v>3</v>
      </c>
      <c r="D11" s="28">
        <v>1</v>
      </c>
      <c r="E11" s="28">
        <v>0</v>
      </c>
      <c r="F11" s="28">
        <v>0</v>
      </c>
      <c r="G11" s="28">
        <v>1</v>
      </c>
      <c r="H11" s="28">
        <v>0</v>
      </c>
      <c r="I11" s="28">
        <v>1</v>
      </c>
      <c r="J11" s="28">
        <v>1</v>
      </c>
      <c r="K11" s="28">
        <v>2</v>
      </c>
      <c r="L11" s="28">
        <v>1</v>
      </c>
      <c r="M11" s="28">
        <v>5</v>
      </c>
      <c r="N11" s="28">
        <v>6</v>
      </c>
      <c r="O11" s="1">
        <f t="shared" si="1"/>
        <v>0</v>
      </c>
    </row>
    <row r="12" spans="1:16" ht="14.4" x14ac:dyDescent="0.3">
      <c r="A12" s="3" t="s">
        <v>37</v>
      </c>
      <c r="B12" s="28">
        <v>10</v>
      </c>
      <c r="C12" s="38"/>
      <c r="D12" s="38"/>
      <c r="E12" s="38"/>
      <c r="F12" s="38"/>
      <c r="G12" s="38"/>
      <c r="H12" s="38"/>
      <c r="I12" s="28">
        <v>0</v>
      </c>
      <c r="J12" s="28">
        <v>8</v>
      </c>
      <c r="K12" s="28">
        <v>0</v>
      </c>
      <c r="L12" s="28">
        <v>0</v>
      </c>
      <c r="M12" s="28">
        <v>0</v>
      </c>
      <c r="N12" s="28">
        <v>2</v>
      </c>
      <c r="O12" s="1">
        <f>10-I12-J12-K12-L12-M12-N12</f>
        <v>0</v>
      </c>
    </row>
    <row r="13" spans="1:16" ht="14.4" x14ac:dyDescent="0.3">
      <c r="A13" s="16" t="s">
        <v>23</v>
      </c>
      <c r="B13" s="28">
        <v>33</v>
      </c>
      <c r="C13" s="28">
        <v>4</v>
      </c>
      <c r="D13" s="28">
        <v>2</v>
      </c>
      <c r="E13" s="28">
        <v>0</v>
      </c>
      <c r="F13" s="28">
        <v>3</v>
      </c>
      <c r="G13" s="28">
        <v>0</v>
      </c>
      <c r="H13" s="28">
        <v>3</v>
      </c>
      <c r="I13" s="28">
        <v>3</v>
      </c>
      <c r="J13" s="28">
        <v>4</v>
      </c>
      <c r="K13" s="28">
        <v>2</v>
      </c>
      <c r="L13" s="28">
        <v>5</v>
      </c>
      <c r="M13" s="28">
        <v>2</v>
      </c>
      <c r="N13" s="28">
        <v>5</v>
      </c>
      <c r="O13" s="1">
        <f t="shared" ref="O13:O16" si="2">B13-C13-D13-E13-F13-G13-H13-I13-J13-K13-L13-M13-N13</f>
        <v>0</v>
      </c>
    </row>
    <row r="14" spans="1:16" ht="14.4" x14ac:dyDescent="0.3">
      <c r="A14" s="1" t="s">
        <v>64</v>
      </c>
      <c r="B14" s="28">
        <v>20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3</v>
      </c>
      <c r="I14" s="28">
        <v>4</v>
      </c>
      <c r="J14" s="28">
        <v>4</v>
      </c>
      <c r="K14" s="28">
        <v>0</v>
      </c>
      <c r="L14" s="28">
        <v>3</v>
      </c>
      <c r="M14" s="28">
        <v>0</v>
      </c>
      <c r="N14" s="28">
        <v>6</v>
      </c>
      <c r="O14" s="1">
        <f t="shared" si="2"/>
        <v>0</v>
      </c>
    </row>
    <row r="15" spans="1:16" ht="14.4" x14ac:dyDescent="0.3">
      <c r="A15" s="16" t="s">
        <v>65</v>
      </c>
      <c r="B15" s="28">
        <v>26</v>
      </c>
      <c r="C15" s="28">
        <v>8</v>
      </c>
      <c r="D15" s="28">
        <v>0</v>
      </c>
      <c r="E15" s="28">
        <v>0</v>
      </c>
      <c r="F15" s="28">
        <v>1</v>
      </c>
      <c r="G15" s="28">
        <v>0</v>
      </c>
      <c r="H15" s="28">
        <v>0</v>
      </c>
      <c r="I15" s="28">
        <v>0</v>
      </c>
      <c r="J15" s="28">
        <v>5</v>
      </c>
      <c r="K15" s="28">
        <v>1</v>
      </c>
      <c r="L15" s="28">
        <v>2</v>
      </c>
      <c r="M15" s="28">
        <v>0</v>
      </c>
      <c r="N15" s="28">
        <v>9</v>
      </c>
      <c r="O15" s="1">
        <f t="shared" si="2"/>
        <v>0</v>
      </c>
    </row>
    <row r="16" spans="1:16" ht="14.4" x14ac:dyDescent="0.3">
      <c r="A16" s="42" t="s">
        <v>29</v>
      </c>
      <c r="B16" s="29">
        <v>5</v>
      </c>
      <c r="C16" s="9"/>
      <c r="D16" s="9"/>
      <c r="E16" s="9"/>
      <c r="F16" s="9"/>
      <c r="G16" s="9"/>
      <c r="H16" s="9"/>
      <c r="I16" s="9"/>
      <c r="J16" s="9"/>
      <c r="K16" s="9"/>
      <c r="N16" s="29">
        <v>5</v>
      </c>
      <c r="O16" s="1">
        <f t="shared" si="2"/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36C09"/>
  </sheetPr>
  <dimension ref="A1:P1000"/>
  <sheetViews>
    <sheetView workbookViewId="0"/>
  </sheetViews>
  <sheetFormatPr defaultColWidth="14.44140625" defaultRowHeight="15" customHeight="1" x14ac:dyDescent="0.3"/>
  <cols>
    <col min="1" max="1" width="21.109375" customWidth="1"/>
    <col min="2" max="16" width="8.6640625" customWidth="1"/>
  </cols>
  <sheetData>
    <row r="1" spans="1:16" ht="17.399999999999999" x14ac:dyDescent="0.35">
      <c r="A1" s="98" t="s">
        <v>73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</row>
    <row r="2" spans="1:16" ht="17.399999999999999" x14ac:dyDescent="0.35">
      <c r="A2" s="100" t="s">
        <v>74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</row>
    <row r="4" spans="1:16" ht="14.4" x14ac:dyDescent="0.3">
      <c r="A4" s="1" t="s">
        <v>0</v>
      </c>
      <c r="B4" s="1" t="s">
        <v>1</v>
      </c>
      <c r="C4" s="2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</row>
    <row r="5" spans="1:16" ht="14.4" x14ac:dyDescent="0.3">
      <c r="A5" s="3" t="s">
        <v>15</v>
      </c>
      <c r="B5" s="28">
        <v>25</v>
      </c>
      <c r="C5" s="43">
        <v>0</v>
      </c>
      <c r="D5" s="28">
        <v>2</v>
      </c>
      <c r="E5" s="28">
        <v>0</v>
      </c>
      <c r="F5" s="28">
        <v>0</v>
      </c>
      <c r="G5" s="28">
        <v>0</v>
      </c>
      <c r="H5" s="28">
        <v>2</v>
      </c>
      <c r="I5" s="28">
        <v>2</v>
      </c>
      <c r="J5" s="28">
        <v>4</v>
      </c>
      <c r="K5" s="28">
        <v>0</v>
      </c>
      <c r="L5" s="28">
        <v>2</v>
      </c>
      <c r="M5" s="28">
        <v>5</v>
      </c>
      <c r="N5" s="28">
        <v>8</v>
      </c>
      <c r="O5" s="1">
        <f t="shared" ref="O5:O11" si="0">B5-C5-D5-E5-F5-G5-H5-I5-J5-K5-L5-M5-N5</f>
        <v>0</v>
      </c>
    </row>
    <row r="6" spans="1:16" ht="14.4" x14ac:dyDescent="0.3">
      <c r="A6" s="3" t="s">
        <v>31</v>
      </c>
      <c r="B6" s="28">
        <v>23</v>
      </c>
      <c r="C6" s="43">
        <v>0</v>
      </c>
      <c r="D6" s="28">
        <v>2</v>
      </c>
      <c r="E6" s="28">
        <v>0</v>
      </c>
      <c r="F6" s="28">
        <v>0</v>
      </c>
      <c r="G6" s="28">
        <v>0</v>
      </c>
      <c r="H6" s="28">
        <v>2</v>
      </c>
      <c r="I6" s="28">
        <v>2</v>
      </c>
      <c r="J6" s="28">
        <v>4</v>
      </c>
      <c r="K6" s="28">
        <v>0</v>
      </c>
      <c r="L6" s="28">
        <v>2</v>
      </c>
      <c r="M6" s="28">
        <v>2</v>
      </c>
      <c r="N6" s="28">
        <v>9</v>
      </c>
      <c r="O6" s="1">
        <f t="shared" si="0"/>
        <v>0</v>
      </c>
    </row>
    <row r="7" spans="1:16" ht="14.4" x14ac:dyDescent="0.3">
      <c r="A7" s="3" t="s">
        <v>67</v>
      </c>
      <c r="B7" s="28">
        <v>37</v>
      </c>
      <c r="C7" s="28">
        <v>12</v>
      </c>
      <c r="D7" s="28">
        <v>3</v>
      </c>
      <c r="E7" s="28">
        <v>1</v>
      </c>
      <c r="F7" s="28">
        <v>0</v>
      </c>
      <c r="G7" s="28">
        <v>0</v>
      </c>
      <c r="H7" s="28">
        <v>2</v>
      </c>
      <c r="I7" s="28">
        <v>9</v>
      </c>
      <c r="J7" s="28">
        <v>2</v>
      </c>
      <c r="K7" s="28">
        <v>0</v>
      </c>
      <c r="L7" s="28">
        <v>2</v>
      </c>
      <c r="M7" s="28">
        <v>0</v>
      </c>
      <c r="N7" s="28">
        <v>6</v>
      </c>
      <c r="O7" s="1">
        <f t="shared" si="0"/>
        <v>0</v>
      </c>
    </row>
    <row r="8" spans="1:16" ht="14.4" x14ac:dyDescent="0.3">
      <c r="A8" s="3" t="s">
        <v>75</v>
      </c>
      <c r="B8" s="28">
        <v>23</v>
      </c>
      <c r="C8" s="28">
        <v>0</v>
      </c>
      <c r="D8" s="28">
        <v>0</v>
      </c>
      <c r="E8" s="28">
        <v>0</v>
      </c>
      <c r="F8" s="28">
        <v>1</v>
      </c>
      <c r="G8" s="28">
        <v>1</v>
      </c>
      <c r="H8" s="28">
        <v>3</v>
      </c>
      <c r="I8" s="28">
        <v>5</v>
      </c>
      <c r="J8" s="28">
        <v>0</v>
      </c>
      <c r="K8" s="28">
        <v>0</v>
      </c>
      <c r="L8" s="28">
        <v>0</v>
      </c>
      <c r="M8" s="28">
        <v>1</v>
      </c>
      <c r="N8" s="28">
        <v>12</v>
      </c>
      <c r="O8" s="1">
        <f t="shared" si="0"/>
        <v>0</v>
      </c>
    </row>
    <row r="9" spans="1:16" ht="14.4" x14ac:dyDescent="0.3">
      <c r="A9" s="3" t="s">
        <v>68</v>
      </c>
      <c r="B9" s="28">
        <v>13</v>
      </c>
      <c r="C9" s="44"/>
      <c r="D9" s="44"/>
      <c r="E9" s="44"/>
      <c r="F9" s="44"/>
      <c r="G9" s="28">
        <v>0</v>
      </c>
      <c r="H9" s="28">
        <v>5</v>
      </c>
      <c r="I9" s="28">
        <v>4</v>
      </c>
      <c r="J9" s="28">
        <v>0</v>
      </c>
      <c r="K9" s="28">
        <v>0</v>
      </c>
      <c r="L9" s="28">
        <v>0</v>
      </c>
      <c r="M9" s="28">
        <v>0</v>
      </c>
      <c r="N9" s="28">
        <v>4</v>
      </c>
      <c r="O9" s="1">
        <f t="shared" si="0"/>
        <v>0</v>
      </c>
    </row>
    <row r="10" spans="1:16" ht="14.4" x14ac:dyDescent="0.3">
      <c r="A10" s="3" t="s">
        <v>69</v>
      </c>
      <c r="B10" s="28">
        <v>23</v>
      </c>
      <c r="C10" s="28">
        <v>0</v>
      </c>
      <c r="D10" s="28">
        <v>4</v>
      </c>
      <c r="E10" s="28">
        <v>0</v>
      </c>
      <c r="F10" s="28">
        <v>6</v>
      </c>
      <c r="G10" s="28">
        <v>1</v>
      </c>
      <c r="H10" s="28">
        <v>1</v>
      </c>
      <c r="I10" s="39">
        <v>0</v>
      </c>
      <c r="J10" s="28">
        <v>3</v>
      </c>
      <c r="K10" s="28">
        <v>0</v>
      </c>
      <c r="L10" s="28">
        <v>0</v>
      </c>
      <c r="M10" s="28">
        <v>2</v>
      </c>
      <c r="N10" s="28">
        <v>6</v>
      </c>
      <c r="O10" s="1">
        <f t="shared" si="0"/>
        <v>0</v>
      </c>
      <c r="P10" s="4"/>
    </row>
    <row r="11" spans="1:16" ht="14.4" x14ac:dyDescent="0.3">
      <c r="A11" s="3" t="s">
        <v>71</v>
      </c>
      <c r="B11" s="28">
        <v>34</v>
      </c>
      <c r="C11" s="28">
        <v>3</v>
      </c>
      <c r="D11" s="28">
        <v>4</v>
      </c>
      <c r="E11" s="28">
        <v>0</v>
      </c>
      <c r="F11" s="28">
        <v>2</v>
      </c>
      <c r="G11" s="28">
        <v>1</v>
      </c>
      <c r="H11" s="28">
        <v>4</v>
      </c>
      <c r="I11" s="28">
        <v>7</v>
      </c>
      <c r="J11" s="28">
        <v>4</v>
      </c>
      <c r="K11" s="28">
        <v>0</v>
      </c>
      <c r="L11" s="28">
        <v>4</v>
      </c>
      <c r="M11" s="28">
        <v>0</v>
      </c>
      <c r="N11" s="28">
        <v>5</v>
      </c>
      <c r="O11" s="1">
        <f t="shared" si="0"/>
        <v>0</v>
      </c>
    </row>
    <row r="12" spans="1:16" ht="14.4" x14ac:dyDescent="0.3">
      <c r="A12" s="3" t="s">
        <v>76</v>
      </c>
      <c r="B12" s="28">
        <v>18</v>
      </c>
      <c r="C12" s="28" t="s">
        <v>77</v>
      </c>
      <c r="D12" s="28">
        <v>0</v>
      </c>
      <c r="E12" s="28">
        <v>0</v>
      </c>
      <c r="F12" s="44">
        <v>2</v>
      </c>
      <c r="G12" s="44"/>
      <c r="H12" s="44"/>
      <c r="I12" s="44"/>
      <c r="J12" s="44"/>
      <c r="K12" s="44"/>
      <c r="L12" s="44"/>
      <c r="M12" s="44"/>
      <c r="N12" s="44"/>
      <c r="O12" s="45">
        <f>B12-D12-E12-F12-G12-H12-I12-J12-K12-L12-M12-N12</f>
        <v>16</v>
      </c>
    </row>
    <row r="13" spans="1:16" ht="14.4" x14ac:dyDescent="0.3">
      <c r="A13" s="3" t="s">
        <v>78</v>
      </c>
      <c r="B13" s="28">
        <v>4</v>
      </c>
      <c r="C13" s="28" t="s">
        <v>77</v>
      </c>
      <c r="D13" s="28" t="s">
        <v>77</v>
      </c>
      <c r="E13" s="28" t="s">
        <v>77</v>
      </c>
      <c r="F13" s="28" t="s">
        <v>77</v>
      </c>
      <c r="G13" s="28" t="s">
        <v>77</v>
      </c>
      <c r="H13" s="28" t="s">
        <v>77</v>
      </c>
      <c r="I13" s="28" t="s">
        <v>77</v>
      </c>
      <c r="J13" s="28" t="s">
        <v>77</v>
      </c>
      <c r="K13" s="28" t="s">
        <v>77</v>
      </c>
      <c r="L13" s="28">
        <v>0</v>
      </c>
      <c r="M13" s="28">
        <v>0</v>
      </c>
      <c r="N13" s="28">
        <v>4</v>
      </c>
      <c r="O13" s="1">
        <f>B13-L13-M13-N13</f>
        <v>0</v>
      </c>
    </row>
    <row r="14" spans="1:16" ht="14.4" x14ac:dyDescent="0.3">
      <c r="A14" s="16" t="s">
        <v>23</v>
      </c>
      <c r="B14" s="28">
        <v>38</v>
      </c>
      <c r="C14" s="28">
        <v>8</v>
      </c>
      <c r="D14" s="28">
        <v>4</v>
      </c>
      <c r="E14" s="28">
        <v>0</v>
      </c>
      <c r="F14" s="28">
        <v>4</v>
      </c>
      <c r="G14" s="28">
        <v>0</v>
      </c>
      <c r="H14" s="28">
        <v>2</v>
      </c>
      <c r="I14" s="28">
        <v>3</v>
      </c>
      <c r="J14" s="28">
        <v>2</v>
      </c>
      <c r="K14" s="28">
        <v>0</v>
      </c>
      <c r="L14" s="28">
        <v>2</v>
      </c>
      <c r="M14" s="28">
        <v>3</v>
      </c>
      <c r="N14" s="28">
        <v>10</v>
      </c>
      <c r="O14" s="1">
        <f t="shared" ref="O14:O17" si="1">B14-C14-D14-E14-F14-G14-H14-I14-J14-K14-L14-M14-N14</f>
        <v>0</v>
      </c>
    </row>
    <row r="15" spans="1:16" ht="14.4" x14ac:dyDescent="0.3">
      <c r="A15" s="16" t="s">
        <v>79</v>
      </c>
      <c r="B15" s="28">
        <v>21</v>
      </c>
      <c r="C15" s="28">
        <v>5</v>
      </c>
      <c r="D15" s="28">
        <v>2</v>
      </c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5">
        <f t="shared" si="1"/>
        <v>14</v>
      </c>
      <c r="P15" s="46" t="s">
        <v>80</v>
      </c>
    </row>
    <row r="16" spans="1:16" ht="14.4" x14ac:dyDescent="0.3">
      <c r="A16" s="16" t="s">
        <v>81</v>
      </c>
      <c r="B16" s="28">
        <v>25</v>
      </c>
      <c r="C16" s="28">
        <v>2</v>
      </c>
      <c r="D16" s="28">
        <v>2</v>
      </c>
      <c r="E16" s="28">
        <v>4</v>
      </c>
      <c r="F16" s="28">
        <v>0</v>
      </c>
      <c r="G16" s="28">
        <v>0</v>
      </c>
      <c r="H16" s="28">
        <v>5</v>
      </c>
      <c r="I16" s="28">
        <v>2</v>
      </c>
      <c r="J16" s="28">
        <v>0</v>
      </c>
      <c r="K16" s="28">
        <v>0</v>
      </c>
      <c r="L16" s="28">
        <v>0</v>
      </c>
      <c r="M16" s="28">
        <v>10</v>
      </c>
      <c r="N16" s="44">
        <v>0</v>
      </c>
      <c r="O16" s="45">
        <f t="shared" si="1"/>
        <v>0</v>
      </c>
    </row>
    <row r="17" spans="1:15" ht="14.4" x14ac:dyDescent="0.3">
      <c r="A17" s="16" t="s">
        <v>65</v>
      </c>
      <c r="B17" s="28">
        <v>23</v>
      </c>
      <c r="C17" s="28">
        <v>5</v>
      </c>
      <c r="D17" s="28">
        <v>2</v>
      </c>
      <c r="E17" s="28">
        <v>4</v>
      </c>
      <c r="F17" s="28">
        <v>0</v>
      </c>
      <c r="G17" s="28">
        <v>0</v>
      </c>
      <c r="H17" s="28">
        <v>1</v>
      </c>
      <c r="I17" s="28">
        <v>0</v>
      </c>
      <c r="J17" s="28">
        <v>5</v>
      </c>
      <c r="K17" s="28">
        <v>0</v>
      </c>
      <c r="L17" s="28">
        <v>0</v>
      </c>
      <c r="M17" s="28">
        <v>0</v>
      </c>
      <c r="N17" s="28">
        <v>6</v>
      </c>
      <c r="O17" s="1">
        <f t="shared" si="1"/>
        <v>0</v>
      </c>
    </row>
    <row r="21" spans="1:15" ht="15.75" customHeight="1" x14ac:dyDescent="0.3"/>
    <row r="22" spans="1:15" ht="15.75" customHeight="1" x14ac:dyDescent="0.3"/>
    <row r="23" spans="1:15" ht="15.75" customHeight="1" x14ac:dyDescent="0.3"/>
    <row r="24" spans="1:15" ht="15.75" customHeight="1" x14ac:dyDescent="0.3"/>
    <row r="25" spans="1:15" ht="15.75" customHeight="1" x14ac:dyDescent="0.3"/>
    <row r="26" spans="1:15" ht="15.75" customHeight="1" x14ac:dyDescent="0.3"/>
    <row r="27" spans="1:15" ht="15.75" customHeight="1" x14ac:dyDescent="0.3"/>
    <row r="28" spans="1:15" ht="15.75" customHeight="1" x14ac:dyDescent="0.3"/>
    <row r="29" spans="1:15" ht="15.75" customHeight="1" x14ac:dyDescent="0.3"/>
    <row r="30" spans="1:15" ht="15.75" customHeight="1" x14ac:dyDescent="0.3"/>
    <row r="31" spans="1:15" ht="15.75" customHeight="1" x14ac:dyDescent="0.3"/>
    <row r="32" spans="1:1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O1"/>
    <mergeCell ref="A2:O2"/>
  </mergeCells>
  <pageMargins left="0.7" right="0.7" top="0.75" bottom="0.75" header="0" footer="0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</sheetPr>
  <dimension ref="A1:R1000"/>
  <sheetViews>
    <sheetView workbookViewId="0"/>
  </sheetViews>
  <sheetFormatPr defaultColWidth="14.44140625" defaultRowHeight="15" customHeight="1" x14ac:dyDescent="0.3"/>
  <cols>
    <col min="1" max="1" width="18.44140625" customWidth="1"/>
    <col min="2" max="2" width="8.6640625" customWidth="1"/>
    <col min="3" max="3" width="7" customWidth="1"/>
    <col min="4" max="4" width="8.6640625" customWidth="1"/>
    <col min="5" max="5" width="7.88671875" customWidth="1"/>
    <col min="6" max="6" width="7.33203125" customWidth="1"/>
    <col min="7" max="7" width="6.44140625" customWidth="1"/>
    <col min="8" max="9" width="6.33203125" customWidth="1"/>
    <col min="10" max="11" width="8.6640625" customWidth="1"/>
    <col min="12" max="12" width="9.5546875" customWidth="1"/>
    <col min="13" max="18" width="8.6640625" customWidth="1"/>
  </cols>
  <sheetData>
    <row r="1" spans="1:18" ht="14.4" x14ac:dyDescent="0.3">
      <c r="A1" s="101" t="s">
        <v>82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</row>
    <row r="2" spans="1:18" ht="17.399999999999999" x14ac:dyDescent="0.35">
      <c r="A2" s="100" t="s">
        <v>74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</row>
    <row r="4" spans="1:18" ht="14.4" x14ac:dyDescent="0.3">
      <c r="A4" s="15" t="s">
        <v>0</v>
      </c>
      <c r="B4" s="33" t="s">
        <v>1</v>
      </c>
      <c r="C4" s="2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</row>
    <row r="5" spans="1:18" ht="14.4" x14ac:dyDescent="0.3">
      <c r="A5" s="3" t="s">
        <v>67</v>
      </c>
      <c r="B5" s="47">
        <v>24</v>
      </c>
      <c r="C5" s="43">
        <v>0</v>
      </c>
      <c r="D5" s="28">
        <v>4</v>
      </c>
      <c r="E5" s="28">
        <v>0</v>
      </c>
      <c r="F5" s="28">
        <v>0</v>
      </c>
      <c r="G5" s="28">
        <v>0</v>
      </c>
      <c r="H5" s="28">
        <v>3</v>
      </c>
      <c r="I5" s="28">
        <v>4</v>
      </c>
      <c r="J5" s="28">
        <v>0</v>
      </c>
      <c r="K5" s="28" t="s">
        <v>83</v>
      </c>
      <c r="L5" s="28">
        <v>0</v>
      </c>
      <c r="M5" s="28">
        <v>0</v>
      </c>
      <c r="N5" s="28"/>
      <c r="O5" s="28" t="e">
        <f t="shared" ref="O5:O8" si="0">B5-C5-D5-E5-F5-G5-H5-I5-J5-K5-L5-M5-N5</f>
        <v>#VALUE!</v>
      </c>
      <c r="P5" s="4" t="s">
        <v>84</v>
      </c>
    </row>
    <row r="6" spans="1:18" ht="14.4" hidden="1" x14ac:dyDescent="0.3">
      <c r="A6" s="48" t="s">
        <v>85</v>
      </c>
      <c r="B6" s="47">
        <v>22</v>
      </c>
      <c r="C6" s="43">
        <v>0</v>
      </c>
      <c r="D6" s="44"/>
      <c r="E6" s="44"/>
      <c r="F6" s="44"/>
      <c r="G6" s="44"/>
      <c r="H6" s="45"/>
      <c r="I6" s="45"/>
      <c r="J6" s="45"/>
      <c r="K6" s="44"/>
      <c r="L6" s="44"/>
      <c r="M6" s="44"/>
      <c r="N6" s="44"/>
      <c r="O6" s="44">
        <f t="shared" si="0"/>
        <v>22</v>
      </c>
    </row>
    <row r="7" spans="1:18" ht="14.4" x14ac:dyDescent="0.3">
      <c r="A7" s="48" t="s">
        <v>34</v>
      </c>
      <c r="B7" s="49">
        <v>20</v>
      </c>
      <c r="C7" s="50">
        <v>3</v>
      </c>
      <c r="D7" s="44">
        <v>0</v>
      </c>
      <c r="E7" s="44">
        <v>0</v>
      </c>
      <c r="F7" s="44">
        <v>0</v>
      </c>
      <c r="G7" s="44">
        <v>0</v>
      </c>
      <c r="H7" s="44">
        <v>7</v>
      </c>
      <c r="I7" s="45">
        <v>0</v>
      </c>
      <c r="J7" s="45"/>
      <c r="K7" s="44"/>
      <c r="L7" s="44"/>
      <c r="M7" s="44"/>
      <c r="N7" s="44"/>
      <c r="O7" s="44">
        <f t="shared" si="0"/>
        <v>10</v>
      </c>
    </row>
    <row r="8" spans="1:18" ht="14.4" x14ac:dyDescent="0.3">
      <c r="A8" s="48" t="s">
        <v>86</v>
      </c>
      <c r="B8" s="49">
        <v>30</v>
      </c>
      <c r="C8" s="50">
        <v>0</v>
      </c>
      <c r="D8" s="44">
        <v>0</v>
      </c>
      <c r="E8" s="44">
        <v>0</v>
      </c>
      <c r="F8" s="44">
        <v>0</v>
      </c>
      <c r="G8" s="44">
        <v>0</v>
      </c>
      <c r="H8" s="45">
        <v>0</v>
      </c>
      <c r="I8" s="44">
        <v>19</v>
      </c>
      <c r="J8" s="45"/>
      <c r="K8" s="44"/>
      <c r="L8" s="44"/>
      <c r="M8" s="44"/>
      <c r="N8" s="44"/>
      <c r="O8" s="44">
        <f t="shared" si="0"/>
        <v>11</v>
      </c>
      <c r="P8" s="46" t="s">
        <v>87</v>
      </c>
    </row>
    <row r="9" spans="1:18" ht="14.4" x14ac:dyDescent="0.3">
      <c r="A9" s="3" t="s">
        <v>69</v>
      </c>
      <c r="B9" s="47">
        <v>2</v>
      </c>
      <c r="C9" s="43" t="s">
        <v>77</v>
      </c>
      <c r="D9" s="28" t="s">
        <v>77</v>
      </c>
      <c r="E9" s="28" t="s">
        <v>77</v>
      </c>
      <c r="F9" s="28" t="s">
        <v>77</v>
      </c>
      <c r="G9" s="28" t="s">
        <v>77</v>
      </c>
      <c r="H9" s="28" t="s">
        <v>77</v>
      </c>
      <c r="I9" s="1" t="s">
        <v>77</v>
      </c>
      <c r="J9" s="1" t="s">
        <v>77</v>
      </c>
      <c r="K9" s="28" t="s">
        <v>77</v>
      </c>
      <c r="L9" s="28" t="s">
        <v>77</v>
      </c>
      <c r="M9" s="28" t="s">
        <v>77</v>
      </c>
      <c r="N9" s="28">
        <v>2</v>
      </c>
      <c r="O9" s="28">
        <v>0</v>
      </c>
      <c r="P9" s="46"/>
    </row>
    <row r="10" spans="1:18" ht="14.4" x14ac:dyDescent="0.3">
      <c r="A10" s="3" t="s">
        <v>71</v>
      </c>
      <c r="B10" s="47">
        <v>31</v>
      </c>
      <c r="C10" s="43">
        <v>1</v>
      </c>
      <c r="D10" s="28">
        <v>3</v>
      </c>
      <c r="E10" s="28">
        <v>0</v>
      </c>
      <c r="F10" s="28">
        <v>1</v>
      </c>
      <c r="G10" s="28">
        <v>0</v>
      </c>
      <c r="H10" s="28">
        <v>3</v>
      </c>
      <c r="I10" s="1">
        <v>5</v>
      </c>
      <c r="J10" s="1">
        <v>1</v>
      </c>
      <c r="K10" s="39">
        <v>4</v>
      </c>
      <c r="L10" s="28" t="s">
        <v>88</v>
      </c>
      <c r="M10" s="28">
        <v>0</v>
      </c>
      <c r="N10" s="28">
        <v>22</v>
      </c>
      <c r="O10" s="28">
        <f>B10-C10-D10-E10-F10-G10-H10-I10-J10-K10-M10-N10</f>
        <v>-9</v>
      </c>
    </row>
    <row r="11" spans="1:18" ht="14.4" x14ac:dyDescent="0.3">
      <c r="A11" s="16" t="s">
        <v>23</v>
      </c>
      <c r="B11" s="51">
        <v>37</v>
      </c>
      <c r="C11" s="43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3</v>
      </c>
      <c r="K11" s="28">
        <v>0</v>
      </c>
      <c r="L11" s="28">
        <v>4</v>
      </c>
      <c r="M11" s="28">
        <v>3</v>
      </c>
      <c r="N11" s="28">
        <v>27</v>
      </c>
      <c r="O11" s="28">
        <f t="shared" ref="O11:O17" si="1">B11-C11-D11-E11-F11-G11-H11-I11-J11-K11-L11-M11-N11</f>
        <v>0</v>
      </c>
      <c r="P11" s="4" t="s">
        <v>89</v>
      </c>
    </row>
    <row r="12" spans="1:18" ht="14.4" x14ac:dyDescent="0.3">
      <c r="A12" s="52" t="s">
        <v>90</v>
      </c>
      <c r="B12" s="53">
        <v>20</v>
      </c>
      <c r="C12" s="50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>
        <v>6</v>
      </c>
      <c r="J12" s="44">
        <v>0</v>
      </c>
      <c r="K12" s="44">
        <v>0</v>
      </c>
      <c r="L12" s="44">
        <v>0</v>
      </c>
      <c r="M12" s="44">
        <v>2</v>
      </c>
      <c r="N12" s="44">
        <v>10</v>
      </c>
      <c r="O12" s="44">
        <f t="shared" si="1"/>
        <v>2</v>
      </c>
    </row>
    <row r="13" spans="1:18" ht="14.4" x14ac:dyDescent="0.3">
      <c r="A13" s="16" t="s">
        <v>79</v>
      </c>
      <c r="B13" s="51">
        <v>23</v>
      </c>
      <c r="C13" s="43">
        <v>2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1</v>
      </c>
      <c r="J13" s="28">
        <v>4</v>
      </c>
      <c r="K13" s="28">
        <v>1</v>
      </c>
      <c r="L13" s="28">
        <v>0</v>
      </c>
      <c r="M13" s="28">
        <v>2</v>
      </c>
      <c r="N13" s="28">
        <v>13</v>
      </c>
      <c r="O13" s="28">
        <f t="shared" si="1"/>
        <v>0</v>
      </c>
      <c r="P13" s="4" t="s">
        <v>91</v>
      </c>
      <c r="R13" s="4" t="s">
        <v>92</v>
      </c>
    </row>
    <row r="14" spans="1:18" ht="14.4" x14ac:dyDescent="0.3">
      <c r="A14" s="52" t="s">
        <v>93</v>
      </c>
      <c r="B14" s="53">
        <v>20</v>
      </c>
      <c r="C14" s="50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3</v>
      </c>
      <c r="K14" s="44">
        <v>0</v>
      </c>
      <c r="L14" s="44">
        <v>1</v>
      </c>
      <c r="M14" s="44">
        <v>2</v>
      </c>
      <c r="N14" s="44"/>
      <c r="O14" s="44">
        <f t="shared" si="1"/>
        <v>14</v>
      </c>
    </row>
    <row r="15" spans="1:18" ht="14.4" x14ac:dyDescent="0.3">
      <c r="A15" s="52" t="s">
        <v>94</v>
      </c>
      <c r="B15" s="53">
        <v>30</v>
      </c>
      <c r="C15" s="50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3</v>
      </c>
      <c r="K15" s="44">
        <v>0</v>
      </c>
      <c r="L15" s="44">
        <v>5</v>
      </c>
      <c r="M15" s="44">
        <v>2</v>
      </c>
      <c r="N15" s="44"/>
      <c r="O15" s="44">
        <f t="shared" si="1"/>
        <v>20</v>
      </c>
      <c r="P15" s="4" t="s">
        <v>95</v>
      </c>
    </row>
    <row r="16" spans="1:18" ht="14.4" x14ac:dyDescent="0.3">
      <c r="A16" s="16" t="s">
        <v>81</v>
      </c>
      <c r="B16" s="51">
        <v>16</v>
      </c>
      <c r="C16" s="43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2</v>
      </c>
      <c r="N16" s="28">
        <v>14</v>
      </c>
      <c r="O16" s="28">
        <f t="shared" si="1"/>
        <v>0</v>
      </c>
    </row>
    <row r="17" spans="1:16" ht="14.4" x14ac:dyDescent="0.3">
      <c r="A17" s="16" t="s">
        <v>65</v>
      </c>
      <c r="B17" s="51">
        <v>27</v>
      </c>
      <c r="C17" s="43">
        <v>0</v>
      </c>
      <c r="D17" s="28">
        <v>0</v>
      </c>
      <c r="E17" s="28">
        <v>5</v>
      </c>
      <c r="F17" s="28">
        <v>0</v>
      </c>
      <c r="G17" s="28">
        <v>0</v>
      </c>
      <c r="H17" s="28">
        <v>0</v>
      </c>
      <c r="I17" s="28">
        <v>0</v>
      </c>
      <c r="J17" s="28">
        <v>6</v>
      </c>
      <c r="K17" s="28">
        <v>2</v>
      </c>
      <c r="L17" s="28">
        <v>0</v>
      </c>
      <c r="M17" s="28">
        <v>2</v>
      </c>
      <c r="N17" s="28">
        <v>12</v>
      </c>
      <c r="O17" s="28">
        <f t="shared" si="1"/>
        <v>0</v>
      </c>
      <c r="P17" s="4" t="s">
        <v>96</v>
      </c>
    </row>
    <row r="18" spans="1:16" ht="14.4" x14ac:dyDescent="0.3">
      <c r="A18" s="54" t="s">
        <v>29</v>
      </c>
      <c r="B18" s="55">
        <v>12</v>
      </c>
      <c r="C18" s="50" t="s">
        <v>77</v>
      </c>
      <c r="D18" s="44" t="s">
        <v>77</v>
      </c>
      <c r="E18" s="44" t="s">
        <v>77</v>
      </c>
      <c r="F18" s="44" t="s">
        <v>77</v>
      </c>
      <c r="G18" s="44" t="s">
        <v>77</v>
      </c>
      <c r="H18" s="44">
        <v>0</v>
      </c>
      <c r="I18" s="44">
        <v>0</v>
      </c>
      <c r="J18" s="44"/>
      <c r="K18" s="44"/>
      <c r="L18" s="44"/>
      <c r="M18" s="44"/>
      <c r="N18" s="44"/>
      <c r="O18" s="44">
        <f>B18-H18-I18-J18-K18-L18-M18-N18</f>
        <v>12</v>
      </c>
    </row>
    <row r="21" spans="1:16" ht="15.75" customHeight="1" x14ac:dyDescent="0.3"/>
    <row r="22" spans="1:16" ht="15.75" customHeight="1" x14ac:dyDescent="0.3"/>
    <row r="23" spans="1:16" ht="15.75" customHeight="1" x14ac:dyDescent="0.3"/>
    <row r="24" spans="1:16" ht="15.75" customHeight="1" x14ac:dyDescent="0.3"/>
    <row r="25" spans="1:16" ht="15.75" customHeight="1" x14ac:dyDescent="0.3"/>
    <row r="26" spans="1:16" ht="15.75" customHeight="1" x14ac:dyDescent="0.3"/>
    <row r="27" spans="1:16" ht="15.75" customHeight="1" x14ac:dyDescent="0.3"/>
    <row r="28" spans="1:16" ht="15.75" customHeight="1" x14ac:dyDescent="0.3"/>
    <row r="29" spans="1:16" ht="15.75" customHeight="1" x14ac:dyDescent="0.3"/>
    <row r="30" spans="1:16" ht="15.75" customHeight="1" x14ac:dyDescent="0.3"/>
    <row r="31" spans="1:16" ht="15.75" customHeight="1" x14ac:dyDescent="0.3"/>
    <row r="32" spans="1:1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O1"/>
    <mergeCell ref="A2:O2"/>
  </mergeCells>
  <pageMargins left="0.7" right="0.7" top="0.75" bottom="0.75" header="0" footer="0"/>
  <pageSetup paperSize="9"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/>
  </sheetPr>
  <dimension ref="A1:P1000"/>
  <sheetViews>
    <sheetView workbookViewId="0"/>
  </sheetViews>
  <sheetFormatPr defaultColWidth="14.44140625" defaultRowHeight="15" customHeight="1" x14ac:dyDescent="0.3"/>
  <cols>
    <col min="1" max="1" width="16.109375" customWidth="1"/>
    <col min="2" max="16" width="8.6640625" customWidth="1"/>
  </cols>
  <sheetData>
    <row r="1" spans="1:16" ht="14.4" x14ac:dyDescent="0.3">
      <c r="A1" s="101" t="s">
        <v>97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</row>
    <row r="2" spans="1:16" ht="17.399999999999999" x14ac:dyDescent="0.35">
      <c r="A2" s="100" t="s">
        <v>74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</row>
    <row r="4" spans="1:16" ht="14.4" x14ac:dyDescent="0.3">
      <c r="A4" s="15" t="s">
        <v>0</v>
      </c>
      <c r="B4" s="33" t="s">
        <v>1</v>
      </c>
      <c r="C4" s="2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</row>
    <row r="5" spans="1:16" ht="14.4" x14ac:dyDescent="0.3">
      <c r="A5" s="3" t="s">
        <v>67</v>
      </c>
      <c r="B5" s="47">
        <v>23</v>
      </c>
      <c r="C5" s="2"/>
      <c r="D5" s="28">
        <v>0</v>
      </c>
      <c r="E5" s="28">
        <v>0</v>
      </c>
      <c r="F5" s="28">
        <v>0</v>
      </c>
      <c r="G5" s="28">
        <v>2</v>
      </c>
      <c r="H5" s="1">
        <v>0</v>
      </c>
      <c r="I5" s="1">
        <v>8</v>
      </c>
      <c r="J5" s="1">
        <v>0</v>
      </c>
      <c r="K5" s="28">
        <v>0</v>
      </c>
      <c r="L5" s="28">
        <v>1</v>
      </c>
      <c r="M5" s="28">
        <v>3</v>
      </c>
      <c r="N5" s="28">
        <v>9</v>
      </c>
      <c r="O5" s="28">
        <f t="shared" ref="O5:O7" si="0">B5-C5-D5-E5-F5-G5-H5-I5-J5-K5-L5-M5-N5</f>
        <v>0</v>
      </c>
    </row>
    <row r="6" spans="1:16" ht="14.4" x14ac:dyDescent="0.3">
      <c r="A6" s="3" t="s">
        <v>85</v>
      </c>
      <c r="B6" s="47">
        <v>6</v>
      </c>
      <c r="C6" s="56"/>
      <c r="D6" s="44"/>
      <c r="E6" s="44"/>
      <c r="F6" s="44"/>
      <c r="G6" s="44"/>
      <c r="H6" s="45"/>
      <c r="I6" s="45"/>
      <c r="J6" s="45"/>
      <c r="K6" s="28">
        <v>0</v>
      </c>
      <c r="L6" s="28">
        <v>0</v>
      </c>
      <c r="M6" s="28">
        <v>0</v>
      </c>
      <c r="N6" s="28">
        <v>6</v>
      </c>
      <c r="O6" s="28">
        <f t="shared" si="0"/>
        <v>0</v>
      </c>
    </row>
    <row r="7" spans="1:16" ht="14.4" x14ac:dyDescent="0.3">
      <c r="A7" s="3" t="s">
        <v>34</v>
      </c>
      <c r="B7" s="47">
        <v>1</v>
      </c>
      <c r="C7" s="56"/>
      <c r="D7" s="44"/>
      <c r="E7" s="44"/>
      <c r="F7" s="44"/>
      <c r="G7" s="44"/>
      <c r="H7" s="45"/>
      <c r="I7" s="45"/>
      <c r="J7" s="45"/>
      <c r="K7" s="44"/>
      <c r="L7" s="44"/>
      <c r="M7" s="44"/>
      <c r="N7" s="28">
        <v>1</v>
      </c>
      <c r="O7" s="28">
        <f t="shared" si="0"/>
        <v>0</v>
      </c>
    </row>
    <row r="8" spans="1:16" ht="14.4" x14ac:dyDescent="0.3">
      <c r="A8" s="3" t="s">
        <v>98</v>
      </c>
      <c r="B8" s="47">
        <v>13</v>
      </c>
      <c r="C8" s="56"/>
      <c r="D8" s="44"/>
      <c r="E8" s="44"/>
      <c r="F8" s="44"/>
      <c r="G8" s="28">
        <v>0</v>
      </c>
      <c r="H8" s="28">
        <v>0</v>
      </c>
      <c r="I8" s="28">
        <v>0</v>
      </c>
      <c r="J8" s="1">
        <v>5</v>
      </c>
      <c r="K8" s="44"/>
      <c r="L8" s="44"/>
      <c r="M8" s="44"/>
      <c r="N8" s="44"/>
      <c r="O8" s="44">
        <f t="shared" ref="O8:O9" si="1">B8-G8-H8-I8-J8-K8-L8-M8-N8</f>
        <v>8</v>
      </c>
    </row>
    <row r="9" spans="1:16" ht="14.4" x14ac:dyDescent="0.3">
      <c r="A9" s="3" t="s">
        <v>99</v>
      </c>
      <c r="B9" s="47">
        <v>13</v>
      </c>
      <c r="C9" s="56"/>
      <c r="D9" s="44"/>
      <c r="E9" s="44"/>
      <c r="F9" s="44"/>
      <c r="G9" s="28">
        <v>0</v>
      </c>
      <c r="H9" s="1">
        <v>0</v>
      </c>
      <c r="I9" s="45"/>
      <c r="J9" s="45"/>
      <c r="K9" s="44"/>
      <c r="L9" s="44"/>
      <c r="M9" s="44"/>
      <c r="N9" s="44"/>
      <c r="O9" s="44">
        <f t="shared" si="1"/>
        <v>13</v>
      </c>
    </row>
    <row r="10" spans="1:16" ht="14.4" x14ac:dyDescent="0.3">
      <c r="A10" s="3" t="s">
        <v>71</v>
      </c>
      <c r="B10" s="47">
        <v>5</v>
      </c>
      <c r="C10" s="56"/>
      <c r="D10" s="44"/>
      <c r="E10" s="44"/>
      <c r="F10" s="44"/>
      <c r="G10" s="44"/>
      <c r="H10" s="45"/>
      <c r="I10" s="45"/>
      <c r="J10" s="45"/>
      <c r="K10" s="44"/>
      <c r="L10" s="44"/>
      <c r="M10" s="28">
        <v>0</v>
      </c>
      <c r="N10" s="28">
        <v>5</v>
      </c>
      <c r="O10" s="28">
        <v>0</v>
      </c>
    </row>
    <row r="11" spans="1:16" ht="14.4" x14ac:dyDescent="0.3">
      <c r="A11" s="16" t="s">
        <v>23</v>
      </c>
      <c r="B11" s="51">
        <v>29</v>
      </c>
      <c r="C11" s="43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5</v>
      </c>
      <c r="L11" s="28">
        <v>0</v>
      </c>
      <c r="M11" s="28">
        <v>5</v>
      </c>
      <c r="N11" s="28">
        <v>12</v>
      </c>
      <c r="O11" s="28">
        <f t="shared" ref="O11:O13" si="2">B11-F11-G11-H11-I11-J11-K11-L11-M11-N11</f>
        <v>7</v>
      </c>
      <c r="P11" s="4" t="s">
        <v>100</v>
      </c>
    </row>
    <row r="12" spans="1:16" ht="14.4" x14ac:dyDescent="0.3">
      <c r="A12" s="16" t="s">
        <v>90</v>
      </c>
      <c r="B12" s="51">
        <v>20</v>
      </c>
      <c r="C12" s="43">
        <v>3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9</v>
      </c>
      <c r="J12" s="28">
        <v>0</v>
      </c>
      <c r="K12" s="28">
        <v>0</v>
      </c>
      <c r="L12" s="28">
        <v>0</v>
      </c>
      <c r="M12" s="28">
        <v>1</v>
      </c>
      <c r="N12" s="28">
        <v>10</v>
      </c>
      <c r="O12" s="28">
        <f t="shared" si="2"/>
        <v>0</v>
      </c>
    </row>
    <row r="13" spans="1:16" ht="14.4" x14ac:dyDescent="0.3">
      <c r="A13" s="16" t="s">
        <v>79</v>
      </c>
      <c r="B13" s="51">
        <v>20</v>
      </c>
      <c r="C13" s="43">
        <v>0</v>
      </c>
      <c r="D13" s="28">
        <v>0</v>
      </c>
      <c r="E13" s="28">
        <v>0</v>
      </c>
      <c r="F13" s="28">
        <v>0</v>
      </c>
      <c r="G13" s="28">
        <v>0</v>
      </c>
      <c r="H13" s="28">
        <v>1</v>
      </c>
      <c r="I13" s="28">
        <v>0</v>
      </c>
      <c r="J13" s="28">
        <v>2</v>
      </c>
      <c r="K13" s="28">
        <v>0</v>
      </c>
      <c r="L13" s="28">
        <v>0</v>
      </c>
      <c r="M13" s="28">
        <v>0</v>
      </c>
      <c r="N13" s="28">
        <v>12</v>
      </c>
      <c r="O13" s="28">
        <f t="shared" si="2"/>
        <v>5</v>
      </c>
      <c r="P13" s="4" t="s">
        <v>100</v>
      </c>
    </row>
    <row r="14" spans="1:16" ht="14.4" x14ac:dyDescent="0.3">
      <c r="A14" s="16" t="s">
        <v>93</v>
      </c>
      <c r="B14" s="51">
        <v>10</v>
      </c>
      <c r="C14" s="50"/>
      <c r="D14" s="44"/>
      <c r="E14" s="44"/>
      <c r="F14" s="44"/>
      <c r="G14" s="44"/>
      <c r="H14" s="44"/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10</v>
      </c>
      <c r="O14" s="28">
        <f>B14-I14-J14-K14-L14-M14-N14</f>
        <v>0</v>
      </c>
    </row>
    <row r="15" spans="1:16" ht="14.4" x14ac:dyDescent="0.3">
      <c r="A15" s="16" t="s">
        <v>25</v>
      </c>
      <c r="B15" s="51">
        <v>22</v>
      </c>
      <c r="C15" s="43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2</v>
      </c>
      <c r="K15" s="44">
        <v>14</v>
      </c>
      <c r="L15" s="44"/>
      <c r="M15" s="44"/>
      <c r="N15" s="44"/>
      <c r="O15" s="44">
        <f t="shared" ref="O15:O18" si="3">B15-F15-G15-H15-I15-J15-K15-L15-M15-N15</f>
        <v>6</v>
      </c>
    </row>
    <row r="16" spans="1:16" ht="14.4" x14ac:dyDescent="0.3">
      <c r="A16" s="16" t="s">
        <v>101</v>
      </c>
      <c r="B16" s="51">
        <v>29</v>
      </c>
      <c r="C16" s="43">
        <v>10</v>
      </c>
      <c r="D16" s="28">
        <v>0</v>
      </c>
      <c r="E16" s="28">
        <v>0</v>
      </c>
      <c r="F16" s="28">
        <v>0</v>
      </c>
      <c r="G16" s="28">
        <v>5</v>
      </c>
      <c r="H16" s="28">
        <v>0</v>
      </c>
      <c r="I16" s="44">
        <v>0</v>
      </c>
      <c r="J16" s="44"/>
      <c r="K16" s="44"/>
      <c r="L16" s="44"/>
      <c r="M16" s="44"/>
      <c r="N16" s="44"/>
      <c r="O16" s="44">
        <f t="shared" si="3"/>
        <v>24</v>
      </c>
    </row>
    <row r="17" spans="1:16" ht="14.4" x14ac:dyDescent="0.3">
      <c r="A17" s="16" t="s">
        <v>94</v>
      </c>
      <c r="B17" s="51">
        <v>20</v>
      </c>
      <c r="C17" s="43">
        <v>0</v>
      </c>
      <c r="D17" s="28">
        <v>0</v>
      </c>
      <c r="E17" s="28">
        <v>0</v>
      </c>
      <c r="F17" s="28">
        <v>0</v>
      </c>
      <c r="G17" s="28">
        <v>4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10</v>
      </c>
      <c r="O17" s="28">
        <f t="shared" si="3"/>
        <v>6</v>
      </c>
      <c r="P17" s="4" t="s">
        <v>100</v>
      </c>
    </row>
    <row r="18" spans="1:16" ht="14.4" x14ac:dyDescent="0.3">
      <c r="A18" s="16" t="s">
        <v>65</v>
      </c>
      <c r="B18" s="51">
        <v>22</v>
      </c>
      <c r="C18" s="43">
        <v>0</v>
      </c>
      <c r="D18" s="28">
        <v>0</v>
      </c>
      <c r="E18" s="28">
        <v>0</v>
      </c>
      <c r="F18" s="28">
        <v>3</v>
      </c>
      <c r="G18" s="28">
        <v>0</v>
      </c>
      <c r="H18" s="28">
        <v>0</v>
      </c>
      <c r="I18" s="28">
        <v>0</v>
      </c>
      <c r="J18" s="28">
        <v>3</v>
      </c>
      <c r="K18" s="28">
        <v>2</v>
      </c>
      <c r="L18" s="28">
        <v>0</v>
      </c>
      <c r="M18" s="28">
        <v>0</v>
      </c>
      <c r="N18" s="28">
        <v>10</v>
      </c>
      <c r="O18" s="28">
        <f t="shared" si="3"/>
        <v>4</v>
      </c>
      <c r="P18" s="4" t="s">
        <v>100</v>
      </c>
    </row>
    <row r="19" spans="1:16" ht="14.4" x14ac:dyDescent="0.3">
      <c r="A19" s="57" t="s">
        <v>29</v>
      </c>
      <c r="B19" s="58"/>
      <c r="C19" s="43"/>
      <c r="D19" s="28"/>
      <c r="E19" s="28">
        <v>0</v>
      </c>
      <c r="F19" s="28">
        <v>0</v>
      </c>
      <c r="G19" s="28">
        <v>0</v>
      </c>
      <c r="H19" s="28">
        <v>0</v>
      </c>
      <c r="I19" s="28">
        <v>5</v>
      </c>
      <c r="J19" s="44"/>
      <c r="K19" s="44"/>
      <c r="L19" s="44"/>
      <c r="M19" s="44"/>
      <c r="N19" s="44"/>
      <c r="O19" s="44"/>
    </row>
    <row r="21" spans="1:16" ht="15.75" customHeight="1" x14ac:dyDescent="0.3"/>
    <row r="22" spans="1:16" ht="15.75" customHeight="1" x14ac:dyDescent="0.3"/>
    <row r="23" spans="1:16" ht="15.75" customHeight="1" x14ac:dyDescent="0.3"/>
    <row r="24" spans="1:16" ht="15.75" customHeight="1" x14ac:dyDescent="0.3"/>
    <row r="25" spans="1:16" ht="15.75" customHeight="1" x14ac:dyDescent="0.3"/>
    <row r="26" spans="1:16" ht="15.75" customHeight="1" x14ac:dyDescent="0.3"/>
    <row r="27" spans="1:16" ht="15.75" customHeight="1" x14ac:dyDescent="0.3"/>
    <row r="28" spans="1:16" ht="15.75" customHeight="1" x14ac:dyDescent="0.3"/>
    <row r="29" spans="1:16" ht="15.75" customHeight="1" x14ac:dyDescent="0.3"/>
    <row r="30" spans="1:16" ht="15.75" customHeight="1" x14ac:dyDescent="0.3"/>
    <row r="31" spans="1:16" ht="15.75" customHeight="1" x14ac:dyDescent="0.3"/>
    <row r="32" spans="1:1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O1"/>
    <mergeCell ref="A2:O2"/>
  </mergeCells>
  <pageMargins left="0.7" right="0.7" top="0.75" bottom="0.75" header="0" footer="0"/>
  <pageSetup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</sheetPr>
  <dimension ref="A1:O1000"/>
  <sheetViews>
    <sheetView workbookViewId="0"/>
  </sheetViews>
  <sheetFormatPr defaultColWidth="14.44140625" defaultRowHeight="15" customHeight="1" x14ac:dyDescent="0.3"/>
  <cols>
    <col min="1" max="1" width="16.109375" customWidth="1"/>
    <col min="2" max="15" width="8.6640625" customWidth="1"/>
  </cols>
  <sheetData>
    <row r="1" spans="1:15" ht="14.4" x14ac:dyDescent="0.3">
      <c r="A1" s="101" t="s">
        <v>102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</row>
    <row r="2" spans="1:15" ht="17.399999999999999" x14ac:dyDescent="0.35">
      <c r="A2" s="100" t="s">
        <v>74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</row>
    <row r="4" spans="1:15" ht="14.4" x14ac:dyDescent="0.3">
      <c r="A4" s="59" t="s">
        <v>0</v>
      </c>
      <c r="B4" s="60" t="s">
        <v>1</v>
      </c>
      <c r="C4" s="2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</row>
    <row r="5" spans="1:15" ht="14.4" x14ac:dyDescent="0.3">
      <c r="A5" s="61" t="s">
        <v>67</v>
      </c>
      <c r="B5" s="62">
        <v>6</v>
      </c>
      <c r="C5" s="2" t="s">
        <v>77</v>
      </c>
      <c r="D5" s="1" t="s">
        <v>77</v>
      </c>
      <c r="E5" s="1" t="s">
        <v>77</v>
      </c>
      <c r="F5" s="1" t="s">
        <v>77</v>
      </c>
      <c r="G5" s="1" t="s">
        <v>77</v>
      </c>
      <c r="H5" s="1" t="s">
        <v>77</v>
      </c>
      <c r="I5" s="1" t="s">
        <v>77</v>
      </c>
      <c r="J5" s="1" t="s">
        <v>77</v>
      </c>
      <c r="K5" s="28">
        <v>0</v>
      </c>
      <c r="L5" s="28">
        <v>5</v>
      </c>
      <c r="M5" s="28">
        <v>0</v>
      </c>
      <c r="N5" s="1">
        <v>1</v>
      </c>
      <c r="O5" s="28">
        <f>B5-K5-L5-M5-N5</f>
        <v>0</v>
      </c>
    </row>
    <row r="6" spans="1:15" ht="14.4" x14ac:dyDescent="0.3">
      <c r="A6" s="63" t="s">
        <v>103</v>
      </c>
      <c r="B6" s="64">
        <v>24</v>
      </c>
      <c r="C6" s="43">
        <v>0</v>
      </c>
      <c r="D6" s="28">
        <v>0</v>
      </c>
      <c r="E6" s="28">
        <v>0</v>
      </c>
      <c r="F6" s="28">
        <v>0</v>
      </c>
      <c r="G6" s="28">
        <v>5</v>
      </c>
      <c r="H6" s="28">
        <v>0</v>
      </c>
      <c r="I6" s="30"/>
      <c r="J6" s="30"/>
      <c r="K6" s="30"/>
      <c r="L6" s="30"/>
      <c r="M6" s="30"/>
      <c r="N6" s="30"/>
      <c r="O6" s="65">
        <f>B6-C6-D6-E6-F6-G6-H6-I6-J6-K6-L6-M6-N6</f>
        <v>19</v>
      </c>
    </row>
    <row r="7" spans="1:15" ht="14.4" x14ac:dyDescent="0.3">
      <c r="A7" s="63" t="s">
        <v>23</v>
      </c>
      <c r="B7" s="64">
        <v>29</v>
      </c>
      <c r="C7" s="43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5</v>
      </c>
      <c r="K7" s="28">
        <v>0</v>
      </c>
      <c r="L7" s="28">
        <v>5</v>
      </c>
      <c r="M7" s="28">
        <v>5</v>
      </c>
      <c r="N7" s="28">
        <v>14</v>
      </c>
      <c r="O7" s="28">
        <f>B7-F7-G7-H7-I7-J7-K7-L7-M7-N7</f>
        <v>0</v>
      </c>
    </row>
    <row r="8" spans="1:15" ht="14.4" x14ac:dyDescent="0.3">
      <c r="A8" s="63" t="s">
        <v>90</v>
      </c>
      <c r="B8" s="64">
        <v>3</v>
      </c>
      <c r="C8" s="43" t="s">
        <v>77</v>
      </c>
      <c r="D8" s="28" t="s">
        <v>77</v>
      </c>
      <c r="E8" s="28" t="s">
        <v>77</v>
      </c>
      <c r="F8" s="28" t="s">
        <v>77</v>
      </c>
      <c r="G8" s="28" t="s">
        <v>77</v>
      </c>
      <c r="H8" s="28" t="s">
        <v>77</v>
      </c>
      <c r="I8" s="28" t="s">
        <v>77</v>
      </c>
      <c r="J8" s="28" t="s">
        <v>77</v>
      </c>
      <c r="K8" s="28" t="s">
        <v>77</v>
      </c>
      <c r="L8" s="28" t="s">
        <v>77</v>
      </c>
      <c r="M8" s="28">
        <v>0</v>
      </c>
      <c r="N8" s="28">
        <v>0</v>
      </c>
      <c r="O8" s="28">
        <v>3</v>
      </c>
    </row>
    <row r="9" spans="1:15" ht="14.4" x14ac:dyDescent="0.3">
      <c r="A9" s="63" t="s">
        <v>25</v>
      </c>
      <c r="B9" s="64">
        <v>16</v>
      </c>
      <c r="C9" s="43" t="s">
        <v>77</v>
      </c>
      <c r="D9" s="28" t="s">
        <v>77</v>
      </c>
      <c r="E9" s="28" t="s">
        <v>77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5</v>
      </c>
      <c r="M9" s="28">
        <v>3</v>
      </c>
      <c r="N9" s="28">
        <v>8</v>
      </c>
      <c r="O9" s="28">
        <f>B9-F9-G9-H9-I9-J9-K9-L9-M9-N9</f>
        <v>0</v>
      </c>
    </row>
    <row r="10" spans="1:15" ht="14.4" x14ac:dyDescent="0.3">
      <c r="A10" s="63" t="s">
        <v>101</v>
      </c>
      <c r="B10" s="64">
        <v>29</v>
      </c>
      <c r="C10" s="43">
        <v>0</v>
      </c>
      <c r="D10" s="28">
        <v>1</v>
      </c>
      <c r="E10" s="28">
        <v>0</v>
      </c>
      <c r="F10" s="28">
        <v>0</v>
      </c>
      <c r="G10" s="28">
        <v>0</v>
      </c>
      <c r="H10" s="28">
        <v>0</v>
      </c>
      <c r="I10" s="28">
        <v>5</v>
      </c>
      <c r="J10" s="28">
        <v>0</v>
      </c>
      <c r="K10" s="28">
        <v>0</v>
      </c>
      <c r="L10" s="28">
        <v>0</v>
      </c>
      <c r="M10" s="28">
        <v>10</v>
      </c>
      <c r="N10" s="28">
        <v>13</v>
      </c>
      <c r="O10" s="28">
        <f>B10-C10-D10-E10-F10-G10-H10-I10-J10-K10-L10-M10-N10</f>
        <v>0</v>
      </c>
    </row>
    <row r="11" spans="1:15" ht="14.4" x14ac:dyDescent="0.3">
      <c r="A11" s="63" t="s">
        <v>94</v>
      </c>
      <c r="B11" s="64">
        <v>20</v>
      </c>
      <c r="C11" s="43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2</v>
      </c>
      <c r="M11" s="28">
        <v>5</v>
      </c>
      <c r="N11" s="28">
        <v>13</v>
      </c>
      <c r="O11" s="28">
        <f t="shared" ref="O11:O12" si="0">B11-H11-I11-J11-K11-L11-M11-N11</f>
        <v>0</v>
      </c>
    </row>
    <row r="12" spans="1:15" ht="14.4" x14ac:dyDescent="0.3">
      <c r="A12" s="63" t="s">
        <v>104</v>
      </c>
      <c r="B12" s="64">
        <v>12</v>
      </c>
      <c r="C12" s="43" t="s">
        <v>77</v>
      </c>
      <c r="D12" s="28" t="s">
        <v>77</v>
      </c>
      <c r="E12" s="28" t="s">
        <v>77</v>
      </c>
      <c r="F12" s="28" t="s">
        <v>77</v>
      </c>
      <c r="G12" s="28" t="s">
        <v>77</v>
      </c>
      <c r="H12" s="28">
        <v>0</v>
      </c>
      <c r="I12" s="28">
        <v>0</v>
      </c>
      <c r="J12" s="28">
        <v>0</v>
      </c>
      <c r="K12" s="28">
        <v>4</v>
      </c>
      <c r="L12" s="65"/>
      <c r="M12" s="65"/>
      <c r="N12" s="65"/>
      <c r="O12" s="65">
        <f t="shared" si="0"/>
        <v>8</v>
      </c>
    </row>
    <row r="13" spans="1:15" ht="14.4" x14ac:dyDescent="0.3">
      <c r="A13" s="63" t="s">
        <v>105</v>
      </c>
      <c r="B13" s="64">
        <v>22</v>
      </c>
      <c r="C13" s="43">
        <v>0</v>
      </c>
      <c r="D13" s="28">
        <v>0</v>
      </c>
      <c r="E13" s="28">
        <v>3</v>
      </c>
      <c r="F13" s="28">
        <v>0</v>
      </c>
      <c r="G13" s="28">
        <v>8</v>
      </c>
      <c r="H13" s="28">
        <v>3</v>
      </c>
      <c r="I13" s="28">
        <v>0</v>
      </c>
      <c r="J13" s="28">
        <v>0</v>
      </c>
      <c r="K13" s="28">
        <v>5</v>
      </c>
      <c r="L13" s="65"/>
      <c r="M13" s="65"/>
      <c r="N13" s="65"/>
      <c r="O13" s="65">
        <f t="shared" ref="O13:O15" si="1">B13-C13-D13-E13-F13-G13-H13-I13-J13-K13-L13-M13-N13</f>
        <v>3</v>
      </c>
    </row>
    <row r="14" spans="1:15" ht="14.4" x14ac:dyDescent="0.3">
      <c r="A14" s="66" t="s">
        <v>65</v>
      </c>
      <c r="B14" s="67">
        <v>22</v>
      </c>
      <c r="C14" s="43">
        <v>0</v>
      </c>
      <c r="D14" s="28">
        <v>0</v>
      </c>
      <c r="E14" s="28">
        <v>3</v>
      </c>
      <c r="F14" s="28">
        <v>0</v>
      </c>
      <c r="G14" s="28">
        <v>5</v>
      </c>
      <c r="H14" s="28">
        <v>0</v>
      </c>
      <c r="I14" s="28">
        <v>5</v>
      </c>
      <c r="J14" s="28">
        <v>0</v>
      </c>
      <c r="K14" s="28">
        <v>0</v>
      </c>
      <c r="L14" s="28">
        <v>0</v>
      </c>
      <c r="M14" s="28">
        <v>0</v>
      </c>
      <c r="N14" s="28">
        <v>9</v>
      </c>
      <c r="O14" s="28">
        <f t="shared" si="1"/>
        <v>0</v>
      </c>
    </row>
    <row r="15" spans="1:15" ht="14.4" x14ac:dyDescent="0.3">
      <c r="A15" s="63" t="s">
        <v>106</v>
      </c>
      <c r="B15" s="64">
        <v>26</v>
      </c>
      <c r="C15" s="43">
        <v>0</v>
      </c>
      <c r="D15" s="28">
        <v>0</v>
      </c>
      <c r="E15" s="28">
        <v>0</v>
      </c>
      <c r="F15" s="28">
        <v>0</v>
      </c>
      <c r="G15" s="65"/>
      <c r="H15" s="65"/>
      <c r="I15" s="65"/>
      <c r="J15" s="65"/>
      <c r="K15" s="65"/>
      <c r="L15" s="65"/>
      <c r="M15" s="65"/>
      <c r="N15" s="65"/>
      <c r="O15" s="65">
        <f t="shared" si="1"/>
        <v>26</v>
      </c>
    </row>
    <row r="16" spans="1:15" ht="14.4" x14ac:dyDescent="0.3">
      <c r="A16" s="68" t="s">
        <v>29</v>
      </c>
      <c r="B16" s="69">
        <v>18</v>
      </c>
      <c r="C16" s="70" t="s">
        <v>77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5</v>
      </c>
      <c r="M16" s="65"/>
      <c r="N16" s="65"/>
      <c r="O16" s="65">
        <f>B16-D16-E16-F16-G16-H16-I16-J16-K16-L16-M16-N16</f>
        <v>13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O1"/>
    <mergeCell ref="A2:O2"/>
  </mergeCells>
  <pageMargins left="0.7" right="0.7" top="0.75" bottom="0.75" header="0" footer="0"/>
  <pageSetup paperSize="9"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62626"/>
  </sheetPr>
  <dimension ref="A1:P1000"/>
  <sheetViews>
    <sheetView workbookViewId="0"/>
  </sheetViews>
  <sheetFormatPr defaultColWidth="14.44140625" defaultRowHeight="15" customHeight="1" x14ac:dyDescent="0.3"/>
  <cols>
    <col min="1" max="1" width="16.6640625" customWidth="1"/>
    <col min="2" max="10" width="8.6640625" customWidth="1"/>
    <col min="11" max="11" width="11.6640625" customWidth="1"/>
    <col min="12" max="13" width="8.6640625" customWidth="1"/>
    <col min="14" max="14" width="10.109375" customWidth="1"/>
    <col min="15" max="16" width="8.6640625" customWidth="1"/>
  </cols>
  <sheetData>
    <row r="1" spans="1:16" ht="14.4" x14ac:dyDescent="0.3">
      <c r="A1" s="102" t="s">
        <v>107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</row>
    <row r="2" spans="1:16" ht="14.4" x14ac:dyDescent="0.3">
      <c r="A2" s="102" t="s">
        <v>74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</row>
    <row r="4" spans="1:16" ht="14.4" x14ac:dyDescent="0.3">
      <c r="A4" s="59" t="s">
        <v>0</v>
      </c>
      <c r="B4" s="60" t="s">
        <v>1</v>
      </c>
      <c r="C4" s="2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</row>
    <row r="5" spans="1:16" ht="14.4" x14ac:dyDescent="0.3">
      <c r="A5" s="63" t="s">
        <v>103</v>
      </c>
      <c r="B5" s="64">
        <v>24</v>
      </c>
      <c r="C5" s="43">
        <v>0</v>
      </c>
      <c r="D5" s="28">
        <v>1</v>
      </c>
      <c r="E5" s="28">
        <v>0</v>
      </c>
      <c r="F5" s="28">
        <v>0</v>
      </c>
      <c r="G5" s="28">
        <v>5</v>
      </c>
      <c r="H5" s="28">
        <v>5</v>
      </c>
      <c r="I5" s="28">
        <v>3</v>
      </c>
      <c r="J5" s="28">
        <v>0</v>
      </c>
      <c r="K5" s="28">
        <v>5</v>
      </c>
      <c r="L5" s="28">
        <v>0</v>
      </c>
      <c r="M5" s="28">
        <v>0</v>
      </c>
      <c r="N5" s="28">
        <v>5</v>
      </c>
      <c r="O5" s="28">
        <f>B5-C5-D5-E5-F5-G5-H5-I5-J5-K5-L5-M5-N5</f>
        <v>0</v>
      </c>
    </row>
    <row r="6" spans="1:16" ht="14.4" x14ac:dyDescent="0.3">
      <c r="A6" s="63" t="s">
        <v>23</v>
      </c>
      <c r="B6" s="64">
        <v>20</v>
      </c>
      <c r="C6" s="43" t="s">
        <v>77</v>
      </c>
      <c r="D6" s="28" t="s">
        <v>77</v>
      </c>
      <c r="E6" s="28" t="s">
        <v>77</v>
      </c>
      <c r="F6" s="28">
        <v>0</v>
      </c>
      <c r="G6" s="28">
        <v>0</v>
      </c>
      <c r="H6" s="28">
        <v>0</v>
      </c>
      <c r="I6" s="28">
        <v>5</v>
      </c>
      <c r="J6" s="28">
        <v>0</v>
      </c>
      <c r="K6" s="28">
        <v>3</v>
      </c>
      <c r="L6" s="28">
        <v>5</v>
      </c>
      <c r="M6" s="28">
        <v>3</v>
      </c>
      <c r="N6" s="28">
        <v>4</v>
      </c>
      <c r="O6" s="28">
        <f>B6-F6-G6-H6-I6-J6-K6-L6-M6-N6</f>
        <v>0</v>
      </c>
    </row>
    <row r="7" spans="1:16" ht="14.4" x14ac:dyDescent="0.3">
      <c r="A7" s="63" t="s">
        <v>108</v>
      </c>
      <c r="B7" s="64">
        <v>23</v>
      </c>
      <c r="C7" s="43">
        <v>0</v>
      </c>
      <c r="D7" s="28">
        <v>0</v>
      </c>
      <c r="E7" s="28">
        <v>0</v>
      </c>
      <c r="F7" s="28">
        <v>0</v>
      </c>
      <c r="G7" s="28">
        <v>5</v>
      </c>
      <c r="H7" s="28">
        <v>5</v>
      </c>
      <c r="I7" s="28">
        <v>0</v>
      </c>
      <c r="J7" s="28">
        <v>5</v>
      </c>
      <c r="K7" s="28">
        <v>0</v>
      </c>
      <c r="L7" s="28">
        <v>3</v>
      </c>
      <c r="M7" s="28">
        <v>0</v>
      </c>
      <c r="N7" s="28">
        <v>5</v>
      </c>
      <c r="O7" s="28">
        <f t="shared" ref="O7:O8" si="0">B7-C7-D7-E7-F7-G7-H7-I7-J7-K7-L7-M7-N7</f>
        <v>0</v>
      </c>
    </row>
    <row r="8" spans="1:16" ht="14.4" x14ac:dyDescent="0.3">
      <c r="A8" s="63" t="s">
        <v>101</v>
      </c>
      <c r="B8" s="64">
        <v>28</v>
      </c>
      <c r="C8" s="43">
        <v>0</v>
      </c>
      <c r="D8" s="28">
        <v>5</v>
      </c>
      <c r="E8" s="28">
        <v>0</v>
      </c>
      <c r="F8" s="28">
        <v>0</v>
      </c>
      <c r="G8" s="28">
        <v>2</v>
      </c>
      <c r="H8" s="28">
        <v>0</v>
      </c>
      <c r="I8" s="28">
        <v>7</v>
      </c>
      <c r="J8" s="28">
        <v>5</v>
      </c>
      <c r="K8" s="28">
        <v>3</v>
      </c>
      <c r="L8" s="28">
        <v>0</v>
      </c>
      <c r="M8" s="28">
        <v>0</v>
      </c>
      <c r="N8" s="28">
        <v>6</v>
      </c>
      <c r="O8" s="28">
        <f t="shared" si="0"/>
        <v>0</v>
      </c>
    </row>
    <row r="9" spans="1:16" ht="14.4" x14ac:dyDescent="0.3">
      <c r="A9" s="63" t="s">
        <v>94</v>
      </c>
      <c r="B9" s="64">
        <v>12</v>
      </c>
      <c r="C9" s="43" t="s">
        <v>77</v>
      </c>
      <c r="D9" s="28" t="s">
        <v>77</v>
      </c>
      <c r="E9" s="28" t="s">
        <v>77</v>
      </c>
      <c r="F9" s="28" t="s">
        <v>77</v>
      </c>
      <c r="G9" s="28" t="s">
        <v>77</v>
      </c>
      <c r="H9" s="28">
        <v>0</v>
      </c>
      <c r="I9" s="28">
        <v>0</v>
      </c>
      <c r="J9" s="28">
        <v>5</v>
      </c>
      <c r="K9" s="28">
        <v>5</v>
      </c>
      <c r="L9" s="28">
        <v>2</v>
      </c>
      <c r="M9" s="28">
        <v>0</v>
      </c>
      <c r="N9" s="28">
        <v>0</v>
      </c>
      <c r="O9" s="28">
        <f>B9-H9-I9-J9-K9-L9-M9-N9</f>
        <v>0</v>
      </c>
    </row>
    <row r="10" spans="1:16" ht="14.4" x14ac:dyDescent="0.3">
      <c r="A10" s="63" t="s">
        <v>109</v>
      </c>
      <c r="B10" s="64">
        <v>29</v>
      </c>
      <c r="C10" s="43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5</v>
      </c>
      <c r="J10" s="28">
        <v>10</v>
      </c>
      <c r="K10" s="28">
        <v>0</v>
      </c>
      <c r="L10" s="28">
        <v>0</v>
      </c>
      <c r="M10" s="28">
        <v>7</v>
      </c>
      <c r="N10" s="28">
        <v>7</v>
      </c>
      <c r="O10" s="28">
        <f t="shared" ref="O10:O11" si="1">B10-C10-D10-E10-F10-G10-H10-I10-J10-K10-L10-M10-N10</f>
        <v>0</v>
      </c>
    </row>
    <row r="11" spans="1:16" ht="14.4" x14ac:dyDescent="0.3">
      <c r="A11" s="63" t="s">
        <v>105</v>
      </c>
      <c r="B11" s="64">
        <v>22</v>
      </c>
      <c r="C11" s="43">
        <v>0</v>
      </c>
      <c r="D11" s="28">
        <v>0</v>
      </c>
      <c r="E11" s="28">
        <v>3</v>
      </c>
      <c r="F11" s="28">
        <v>0</v>
      </c>
      <c r="G11" s="28">
        <v>7</v>
      </c>
      <c r="H11" s="28">
        <v>0</v>
      </c>
      <c r="I11" s="28">
        <v>0</v>
      </c>
      <c r="J11" s="28">
        <v>6</v>
      </c>
      <c r="K11" s="28">
        <v>0</v>
      </c>
      <c r="L11" s="28">
        <v>0</v>
      </c>
      <c r="M11" s="28">
        <v>0</v>
      </c>
      <c r="N11" s="28">
        <v>6</v>
      </c>
      <c r="O11" s="28">
        <f t="shared" si="1"/>
        <v>0</v>
      </c>
    </row>
    <row r="12" spans="1:16" ht="14.4" x14ac:dyDescent="0.3">
      <c r="A12" s="71" t="s">
        <v>65</v>
      </c>
      <c r="B12" s="67">
        <v>16</v>
      </c>
      <c r="C12" s="43" t="s">
        <v>77</v>
      </c>
      <c r="D12" s="28" t="s">
        <v>77</v>
      </c>
      <c r="E12" s="28" t="s">
        <v>77</v>
      </c>
      <c r="F12" s="28">
        <v>0</v>
      </c>
      <c r="G12" s="28">
        <v>0</v>
      </c>
      <c r="H12" s="28">
        <v>0</v>
      </c>
      <c r="I12" s="28">
        <v>0</v>
      </c>
      <c r="J12" s="28">
        <v>5</v>
      </c>
      <c r="K12" s="28">
        <v>0</v>
      </c>
      <c r="L12" s="28">
        <v>3</v>
      </c>
      <c r="M12" s="28">
        <v>4</v>
      </c>
      <c r="N12" s="72">
        <v>4</v>
      </c>
      <c r="O12" s="28">
        <f>B12-F12-G12-H12-I12-J12-K12-L12-M12-N12</f>
        <v>0</v>
      </c>
      <c r="P12" s="4" t="s">
        <v>110</v>
      </c>
    </row>
    <row r="13" spans="1:16" ht="14.4" x14ac:dyDescent="0.3">
      <c r="A13" s="73" t="s">
        <v>106</v>
      </c>
      <c r="B13" s="74">
        <v>62</v>
      </c>
      <c r="C13" s="43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/>
      <c r="N13" s="28"/>
      <c r="O13" s="28">
        <f>B13-C13-D13-E13-F13-G13-H13-I13-J13-K13-L13-M13-N13</f>
        <v>62</v>
      </c>
      <c r="P13" s="4" t="s">
        <v>111</v>
      </c>
    </row>
    <row r="14" spans="1:16" ht="15" customHeight="1" x14ac:dyDescent="0.3">
      <c r="B14" s="75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O1"/>
    <mergeCell ref="A2:O2"/>
  </mergeCells>
  <pageMargins left="0.7" right="0.7" top="0.75" bottom="0.75" header="0" footer="0"/>
  <pageSetup paperSize="9"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D1B10"/>
  </sheetPr>
  <dimension ref="A1:O1000"/>
  <sheetViews>
    <sheetView workbookViewId="0"/>
  </sheetViews>
  <sheetFormatPr defaultColWidth="14.44140625" defaultRowHeight="15" customHeight="1" x14ac:dyDescent="0.3"/>
  <cols>
    <col min="1" max="15" width="8.6640625" customWidth="1"/>
  </cols>
  <sheetData>
    <row r="1" spans="1:15" ht="14.4" x14ac:dyDescent="0.3">
      <c r="A1" s="102" t="s">
        <v>112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</row>
    <row r="2" spans="1:15" ht="14.4" x14ac:dyDescent="0.3">
      <c r="A2" s="102" t="s">
        <v>74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</row>
    <row r="4" spans="1:15" ht="14.4" x14ac:dyDescent="0.3">
      <c r="A4" s="59" t="s">
        <v>0</v>
      </c>
      <c r="B4" s="60" t="s">
        <v>1</v>
      </c>
      <c r="C4" s="2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</row>
    <row r="5" spans="1:15" ht="14.4" x14ac:dyDescent="0.3">
      <c r="A5" s="61" t="s">
        <v>67</v>
      </c>
      <c r="B5" s="62">
        <v>10</v>
      </c>
      <c r="C5" s="43" t="s">
        <v>77</v>
      </c>
      <c r="D5" s="28" t="s">
        <v>77</v>
      </c>
      <c r="E5" s="1" t="s">
        <v>77</v>
      </c>
      <c r="F5" s="1" t="s">
        <v>77</v>
      </c>
      <c r="G5" s="1" t="s">
        <v>77</v>
      </c>
      <c r="H5" s="1" t="s">
        <v>77</v>
      </c>
      <c r="I5" s="1" t="s">
        <v>77</v>
      </c>
      <c r="J5" s="28">
        <v>0</v>
      </c>
      <c r="K5" s="28">
        <v>4</v>
      </c>
      <c r="L5" s="28">
        <v>6</v>
      </c>
      <c r="M5" s="76"/>
      <c r="N5" s="76"/>
      <c r="O5" s="28">
        <f>B5-J5-K5-L5-M5-N5</f>
        <v>0</v>
      </c>
    </row>
    <row r="6" spans="1:15" ht="14.4" x14ac:dyDescent="0.3">
      <c r="A6" s="63" t="s">
        <v>103</v>
      </c>
      <c r="B6" s="64">
        <v>23</v>
      </c>
      <c r="C6" s="43">
        <v>5</v>
      </c>
      <c r="D6" s="28">
        <v>0</v>
      </c>
      <c r="E6" s="28">
        <v>0</v>
      </c>
      <c r="F6" s="28">
        <v>1</v>
      </c>
      <c r="G6" s="28">
        <v>0</v>
      </c>
      <c r="H6" s="28">
        <v>2</v>
      </c>
      <c r="I6" s="28">
        <v>3</v>
      </c>
      <c r="J6" s="28">
        <v>0</v>
      </c>
      <c r="K6" s="28">
        <v>6</v>
      </c>
      <c r="L6" s="28">
        <v>0</v>
      </c>
      <c r="M6" s="28">
        <v>0</v>
      </c>
      <c r="N6" s="28">
        <v>6</v>
      </c>
      <c r="O6" s="28">
        <f t="shared" ref="O6:O12" si="0">B6-C6-D6-E6-F6-G6-H6-I6-J6-K6-L6-M6-N6</f>
        <v>0</v>
      </c>
    </row>
    <row r="7" spans="1:15" ht="14.4" x14ac:dyDescent="0.3">
      <c r="A7" s="63" t="s">
        <v>37</v>
      </c>
      <c r="B7" s="64">
        <v>20</v>
      </c>
      <c r="C7" s="43">
        <v>5</v>
      </c>
      <c r="D7" s="28">
        <v>8</v>
      </c>
      <c r="E7" s="28">
        <v>0</v>
      </c>
      <c r="F7" s="28">
        <v>2</v>
      </c>
      <c r="G7" s="28">
        <v>0</v>
      </c>
      <c r="H7" s="28">
        <v>0</v>
      </c>
      <c r="I7" s="28">
        <v>0</v>
      </c>
      <c r="J7" s="28">
        <v>0</v>
      </c>
      <c r="K7" s="76"/>
      <c r="L7" s="76"/>
      <c r="M7" s="76"/>
      <c r="N7" s="76"/>
      <c r="O7" s="28">
        <f t="shared" si="0"/>
        <v>5</v>
      </c>
    </row>
    <row r="8" spans="1:15" ht="14.4" x14ac:dyDescent="0.3">
      <c r="A8" s="63" t="s">
        <v>108</v>
      </c>
      <c r="B8" s="64">
        <v>23</v>
      </c>
      <c r="C8" s="43">
        <v>0</v>
      </c>
      <c r="D8" s="28">
        <v>1</v>
      </c>
      <c r="E8" s="28">
        <v>2</v>
      </c>
      <c r="F8" s="28">
        <v>1</v>
      </c>
      <c r="G8" s="28">
        <v>0</v>
      </c>
      <c r="H8" s="28">
        <v>2</v>
      </c>
      <c r="I8" s="28">
        <v>0</v>
      </c>
      <c r="J8" s="28">
        <v>1</v>
      </c>
      <c r="K8" s="28">
        <v>5</v>
      </c>
      <c r="L8" s="28">
        <v>0</v>
      </c>
      <c r="M8" s="28">
        <v>5</v>
      </c>
      <c r="N8" s="28">
        <v>6</v>
      </c>
      <c r="O8" s="28">
        <f t="shared" si="0"/>
        <v>0</v>
      </c>
    </row>
    <row r="9" spans="1:15" ht="14.4" x14ac:dyDescent="0.3">
      <c r="A9" s="63" t="s">
        <v>101</v>
      </c>
      <c r="B9" s="64">
        <v>28</v>
      </c>
      <c r="C9" s="43">
        <v>0</v>
      </c>
      <c r="D9" s="28">
        <v>5</v>
      </c>
      <c r="E9" s="28">
        <v>1</v>
      </c>
      <c r="F9" s="28">
        <v>2</v>
      </c>
      <c r="G9" s="28">
        <v>0</v>
      </c>
      <c r="H9" s="28">
        <v>2</v>
      </c>
      <c r="I9" s="28">
        <v>3</v>
      </c>
      <c r="J9" s="28">
        <v>0</v>
      </c>
      <c r="K9" s="28">
        <v>3</v>
      </c>
      <c r="L9" s="28">
        <v>0</v>
      </c>
      <c r="M9" s="28">
        <v>6</v>
      </c>
      <c r="N9" s="28">
        <v>6</v>
      </c>
      <c r="O9" s="28">
        <f t="shared" si="0"/>
        <v>0</v>
      </c>
    </row>
    <row r="10" spans="1:15" ht="14.4" x14ac:dyDescent="0.3">
      <c r="A10" s="63" t="s">
        <v>109</v>
      </c>
      <c r="B10" s="64">
        <v>29</v>
      </c>
      <c r="C10" s="43">
        <v>3</v>
      </c>
      <c r="D10" s="28">
        <v>7</v>
      </c>
      <c r="E10" s="28">
        <v>0</v>
      </c>
      <c r="F10" s="28">
        <v>0</v>
      </c>
      <c r="G10" s="28">
        <v>0</v>
      </c>
      <c r="H10" s="28">
        <v>0</v>
      </c>
      <c r="I10" s="28">
        <v>2</v>
      </c>
      <c r="J10" s="28">
        <v>0</v>
      </c>
      <c r="K10" s="28">
        <v>3</v>
      </c>
      <c r="L10" s="28">
        <v>2</v>
      </c>
      <c r="M10" s="28">
        <v>8</v>
      </c>
      <c r="N10" s="28">
        <v>4</v>
      </c>
      <c r="O10" s="28">
        <f t="shared" si="0"/>
        <v>0</v>
      </c>
    </row>
    <row r="11" spans="1:15" ht="14.4" x14ac:dyDescent="0.3">
      <c r="A11" s="63" t="s">
        <v>105</v>
      </c>
      <c r="B11" s="64">
        <v>22</v>
      </c>
      <c r="C11" s="43">
        <v>3</v>
      </c>
      <c r="D11" s="28">
        <v>5</v>
      </c>
      <c r="E11" s="28">
        <v>0</v>
      </c>
      <c r="F11" s="28">
        <v>1</v>
      </c>
      <c r="G11" s="28">
        <v>3</v>
      </c>
      <c r="H11" s="28">
        <v>5</v>
      </c>
      <c r="I11" s="28">
        <v>0</v>
      </c>
      <c r="J11" s="28">
        <v>2</v>
      </c>
      <c r="K11" s="28">
        <v>0</v>
      </c>
      <c r="L11" s="28">
        <v>0</v>
      </c>
      <c r="M11" s="28">
        <v>0</v>
      </c>
      <c r="N11" s="28">
        <v>3</v>
      </c>
      <c r="O11" s="28">
        <f t="shared" si="0"/>
        <v>0</v>
      </c>
    </row>
    <row r="12" spans="1:15" ht="14.4" x14ac:dyDescent="0.3">
      <c r="A12" s="73" t="s">
        <v>106</v>
      </c>
      <c r="B12" s="74">
        <v>62</v>
      </c>
      <c r="C12" s="43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f t="shared" si="0"/>
        <v>62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O1"/>
    <mergeCell ref="A2:O2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15</vt:i4>
      </vt:variant>
    </vt:vector>
  </HeadingPairs>
  <TitlesOfParts>
    <vt:vector size="15" baseType="lpstr">
      <vt:lpstr>Szabadság 2026</vt:lpstr>
      <vt:lpstr>Szabadság 2025</vt:lpstr>
      <vt:lpstr>Szabadság 2024</vt:lpstr>
      <vt:lpstr>Szabadság 2023</vt:lpstr>
      <vt:lpstr>Szabadság 2022</vt:lpstr>
      <vt:lpstr>Szabadság 2021</vt:lpstr>
      <vt:lpstr>Sakkmed Alkalmi 2021</vt:lpstr>
      <vt:lpstr>Szabadság 2020</vt:lpstr>
      <vt:lpstr>Szabadság 2019</vt:lpstr>
      <vt:lpstr>Szabadság 2018</vt:lpstr>
      <vt:lpstr>SAKKMED_Szabadság_2017</vt:lpstr>
      <vt:lpstr>Szabadásg 2016</vt:lpstr>
      <vt:lpstr>Szabadság 2015</vt:lpstr>
      <vt:lpstr>Sakkmed_szabadság_2014</vt:lpstr>
      <vt:lpstr>Sakkmed_szabadság_2013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Kitti Neumajer</cp:lastModifiedBy>
  <dcterms:created xsi:type="dcterms:W3CDTF">2024-08-26T07:29:01Z</dcterms:created>
  <dcterms:modified xsi:type="dcterms:W3CDTF">2026-05-29T07:55:42Z</dcterms:modified>
</cp:coreProperties>
</file>